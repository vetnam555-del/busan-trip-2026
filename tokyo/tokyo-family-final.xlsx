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58a017927848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여행 일정" sheetId="1" r:id="R66c1b50d02074678"/>
    <x:sheet xmlns:r="http://schemas.openxmlformats.org/officeDocument/2006/relationships" name="맛집 상세" sheetId="2" r:id="Rafec077aa23b4c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/d"/>
    <x:numFmt numFmtId="201" formatCode="#,##0&quot;엔&quot;"/>
    <x:numFmt numFmtId="202" formatCode="#,##0"/>
  </x:numFmts>
  <x:fonts count="13">
    <x:font>
      <x:sz val="11"/>
      <x:name val="Carlito"/>
    </x:font>
    <x:font>
      <x:sz val="11"/>
      <x:color rgb="FF243533"/>
      <x:name val="Malgun Gothic"/>
    </x:font>
    <x:font>
      <x:b/>
      <x:sz val="18"/>
      <x:color rgb="FF243533"/>
      <x:name val="Malgun Gothic"/>
    </x:font>
    <x:font>
      <x:sz val="10"/>
      <x:color rgb="FF52645F"/>
      <x:name val="Malgun Gothic"/>
    </x:font>
    <x:font>
      <x:b/>
      <x:sz val="12"/>
      <x:color rgb="FFFFFFFF"/>
      <x:name val="Malgun Gothic"/>
    </x:font>
    <x:font>
      <x:b/>
      <x:sz val="11"/>
      <x:color rgb="FF243533"/>
      <x:name val="Malgun Gothic"/>
    </x:font>
    <x:font>
      <x:b/>
      <x:sz val="13"/>
      <x:color rgb="FF243533"/>
      <x:name val="Malgun Gothic"/>
    </x:font>
    <x:font>
      <x:b/>
      <x:sz val="11"/>
      <x:color rgb="FF12649B"/>
      <x:name val="Malgun Gothic"/>
    </x:font>
    <x:font>
      <x:sz val="11"/>
      <x:color rgb="FF12649B"/>
      <x:name val="Malgun Gothic"/>
    </x:font>
    <x:font>
      <x:b/>
      <x:sz val="17"/>
      <x:color rgb="FF243533"/>
      <x:name val="Malgun Gothic"/>
    </x:font>
    <x:font>
      <x:b/>
      <x:sz val="11"/>
      <x:color rgb="FF16695F"/>
      <x:name val="Malgun Gothic"/>
    </x:font>
    <x:font>
      <x:b/>
      <x:sz val="11"/>
      <x:color rgb="FF795D2A"/>
      <x:name val="Malgun Gothic"/>
    </x:font>
    <x:font>
      <x:b/>
      <x:sz val="11"/>
      <x:color rgb="FFFFFFFF"/>
      <x:name val="Malgun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F3F5F6"/>
      </x:patternFill>
    </x:fill>
    <x:fill>
      <x:patternFill patternType="solid">
        <x:fgColor rgb="FF16695F"/>
      </x:patternFill>
    </x:fill>
    <x:fill>
      <x:patternFill patternType="solid">
        <x:fgColor rgb="FFEAF3EF"/>
      </x:patternFill>
    </x:fill>
    <x:fill>
      <x:patternFill patternType="solid">
        <x:fgColor rgb="FFFFFFFF"/>
      </x:patternFill>
    </x:fill>
    <x:fill>
      <x:patternFill patternType="solid">
        <x:fgColor rgb="FFFFF1D9"/>
      </x:patternFill>
    </x:fill>
  </x:fills>
  <x:borders count="1">
    <x:border/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6" fillId="2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1" fontId="5" fillId="4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12" fillId="3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202" fontId="1" fillId="6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989a614a4a4568" /><Relationship Type="http://schemas.openxmlformats.org/officeDocument/2006/relationships/theme" Target="/xl/theme/theme1.xml" Id="Ref5cea396f154f63" /><Relationship Type="http://schemas.openxmlformats.org/officeDocument/2006/relationships/sharedStrings" Target="/xl/sharedStrings.xml" Id="R3edc239a0afc4fea" /><Relationship Type="http://schemas.openxmlformats.org/officeDocument/2006/relationships/worksheet" Target="/xl/worksheets/sheet1.xml" Id="R66c1b50d02074678" /><Relationship Type="http://schemas.openxmlformats.org/officeDocument/2006/relationships/worksheet" Target="/xl/worksheets/sheet2.xml" Id="Rafec077aa23b4c8d" /></Relationships>
</file>

<file path=xl/tables/table1.xml><?xml version="1.0" encoding="utf-8"?>
<x:table xmlns:x="http://schemas.openxmlformats.org/spreadsheetml/2006/main" id="1" name="TokyoRestaurants" displayName="TokyoRestaurants" ref="A6:L27" headerRowCount="1" totalsRowCount="0" totalsRowShown="0">
  <x:tableColumns count="12">
    <x:tableColumn id="1" name="번호"/>
    <x:tableColumn id="2" name="사용 구분"/>
    <x:tableColumn id="3" name="상호·지점 / 주소"/>
    <x:tableColumn id="4" name="대표 메뉴 · 고른 이유"/>
    <x:tableColumn id="5" name="하한 JPY"/>
    <x:tableColumn id="6" name="상한 JPY"/>
    <x:tableColumn id="7" name="영업 · 예약 조건"/>
    <x:tableColumn id="8" name="가족 방문 · 주의사항"/>
    <x:tableColumn id="9" name="확인 근거 · 원본"/>
    <x:tableColumn id="10" name="지도"/>
    <x:tableColumn id="11" name="대표 출처"/>
    <x:tableColumn id="12" name="보조 출처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Id="rIdTripLink1" Type="http://schemas.openxmlformats.org/officeDocument/2006/relationships/hyperlink" Target="https://vetnam555-del.github.io/busan-trip-2026/tokyo/" TargetMode="External" /></ns0:Relationships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table" Target="/xl/tables/table1.xml" Id="Rc822092c15db4d58" /><ns0:Relationship Id="rIdTripLink1"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/><ns0:Relationship Id="rIdTripLink2" Type="http://schemas.openxmlformats.org/officeDocument/2006/relationships/hyperlink" Target="https://www.ramenings.com/hayashida" TargetMode="External" /><ns0:Relationship Id="rIdTripLink3"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/><ns0:Relationship Id="rIdTripLink4" Type="http://schemas.openxmlformats.org/officeDocument/2006/relationships/hyperlink" Target="https://www.trip-kamakura.com/stay-gurume/detail.php?business_type=gourmet&amp;id=31" TargetMode="External" /><ns0:Relationship Id="rIdTripLink5" Type="http://schemas.openxmlformats.org/officeDocument/2006/relationships/hyperlink" Target="https://tabelog.com/kanagawa/A1404/A140402/14003222/" TargetMode="External" /><ns0:Relationship Id="rIdTripLink6" Type="http://schemas.openxmlformats.org/officeDocument/2006/relationships/hyperlink" Target="https://www.google.com/maps/search/?api=1&amp;query=%EB%A1%9C%EB%B0%94%ED%83%80%20%EC%87%BC%20%EC%9D%BC%EB%B3%B8%20%E3%80%92160-0023%20Tokyo%2C%20Shinjuku%20City%2C%20Nishishinjuku%2C%201%20Chome%E2%88%924%E2%88%9211%20B1F" TargetMode="External" /><ns0:Relationship Id="rIdTripLink7" Type="http://schemas.openxmlformats.org/officeDocument/2006/relationships/hyperlink" Target="https://robata-sho-shinjuku.com/table/" TargetMode="External" /><ns0:Relationship Id="rIdTripLink8" Type="http://schemas.openxmlformats.org/officeDocument/2006/relationships/hyperlink" Target="https://robata-sho-shinjuku.orwst.com/ja" TargetMode="External" /><ns0:Relationship Id="rIdTripLink9"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/><ns0:Relationship Id="rIdTripLink10" Type="http://schemas.openxmlformats.org/officeDocument/2006/relationships/hyperlink" Target="https://mai-sen.com/restaurant/aoyama/" TargetMode="External" /><ns0:Relationship Id="rIdTripLink11"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/><ns0:Relationship Id="rIdTripLink12" Type="http://schemas.openxmlformats.org/officeDocument/2006/relationships/hyperlink" Target="https://yakiniku-ponga.com/ebisu/course/" TargetMode="External" /><ns0:Relationship Id="rIdTripLink13" Type="http://schemas.openxmlformats.org/officeDocument/2006/relationships/hyperlink" Target="https://yakiniku-ponga.com/ebisu/" TargetMode="External" /><ns0:Relationship Id="rIdTripLink14"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/><ns0:Relationship Id="rIdTripLink15" Type="http://schemas.openxmlformats.org/officeDocument/2006/relationships/hyperlink" Target="https://tabelog.com/tokyo/A1311/A131102/13003650/" TargetMode="External" /><ns0:Relationship Id="rIdTripLink16"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/><ns0:Relationship Id="rIdTripLink17" Type="http://schemas.openxmlformats.org/officeDocument/2006/relationships/hyperlink" Target="https://sumiyaki-unafuji.com/shops/tokyo_opera_city/" TargetMode="External" /><ns0:Relationship Id="rIdTripLink18" Type="http://schemas.openxmlformats.org/officeDocument/2006/relationships/hyperlink" Target="https://menu-tokyo.jp/search/detail.php?lang=jp&amp;lat=35.68300241&amp;lng=139.68675578&amp;shop_id=2600117" TargetMode="External" /><ns0:Relationship Id="rIdTripLink19"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/><ns0:Relationship Id="rIdTripLink20" Type="http://schemas.openxmlformats.org/officeDocument/2006/relationships/hyperlink" Target="https://x.com/nanaya_aoyama/with_replies" TargetMode="External" /><ns0:Relationship Id="rIdTripLink21" Type="http://schemas.openxmlformats.org/officeDocument/2006/relationships/hyperlink" Target="https://www.pref.shizuoka.jp/_res/projects/default_project/_page_/001/080/309/nanaya.pdf" TargetMode="External" /><ns0:Relationship Id="rIdTripLink22"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/><ns0:Relationship Id="rIdTripLink23" Type="http://schemas.openxmlformats.org/officeDocument/2006/relationships/hyperlink" Target="https://asakusanioideyo.com/07/200/" TargetMode="External" /><ns0:Relationship Id="rIdTripLink24"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/><ns0:Relationship Id="rIdTripLink25" Type="http://schemas.openxmlformats.org/officeDocument/2006/relationships/hyperlink" Target="https://parlour.shiseido.co.jp/shoplist/salondecafeginza/" TargetMode="External" /><ns0:Relationship Id="rIdTripLink26"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/><ns0:Relationship Id="rIdTripLink27" Type="http://schemas.openxmlformats.org/officeDocument/2006/relationships/hyperlink" Target="https://fukuho.net/" TargetMode="External" /><ns0:Relationship Id="rIdTripLink28" Type="http://schemas.openxmlformats.org/officeDocument/2006/relationships/hyperlink" Target="https://tabelog.com/tokyo/A1304/A130402/13050544/" TargetMode="External" /><ns0:Relationship Id="rIdTripLink29"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/><ns0:Relationship Id="rIdTripLink30" Type="http://schemas.openxmlformats.org/officeDocument/2006/relationships/hyperlink" Target="https://www.sushinomidori.co.jp/shops/shibuya/" TargetMode="External" /><ns0:Relationship Id="rIdTripLink31" Type="http://schemas.openxmlformats.org/officeDocument/2006/relationships/hyperlink" Target="https://www.google.com/maps/search/?api=1&amp;query=Imahan%20Annex%202%20Chome-2-5%20Asakusa%2C%20Taito%20City%2C%20Tokyo%20111-0032%20%EC%9D%BC%EB%B3%B8" TargetMode="External" /><ns0:Relationship Id="rIdTripLink32" Type="http://schemas.openxmlformats.org/officeDocument/2006/relationships/hyperlink" Target="https://www.asakusa-imahan.co.jp/" TargetMode="External" /><ns0:Relationship Id="rIdTripLink33" Type="http://schemas.openxmlformats.org/officeDocument/2006/relationships/hyperlink" Target="https://www.asakusa-imahan.co.jp/reservation/" TargetMode="External" /><ns0:Relationship Id="rIdTripLink34"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/><ns0:Relationship Id="rIdTripLink35" Type="http://schemas.openxmlformats.org/officeDocument/2006/relationships/hyperlink" Target="https://www.frederic-cassel.jp/" TargetMode="External" /><ns0:Relationship Id="rIdTripLink36" Type="http://schemas.openxmlformats.org/officeDocument/2006/relationships/hyperlink" Target="https://www.mistore.jp/store/ginza/shops/foods/foodgarden/shopnews_list/shopnews00761.html" TargetMode="External" /><ns0:Relationship Id="rIdTripLink37"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/><ns0:Relationship Id="rIdTripLink38" Type="http://schemas.openxmlformats.org/officeDocument/2006/relationships/hyperlink" Target="https://r.goope.jp/jinroku-gyoen/free/shop-gyoen" TargetMode="External" /><ns0:Relationship Id="rIdTripLink39" Type="http://schemas.openxmlformats.org/officeDocument/2006/relationships/hyperlink" Target="https://tabelog.com/tokyo/A1304/A130402/13182646/dtlmenu/" TargetMode="External" /><ns0:Relationship Id="rIdTripLink40"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/><ns0:Relationship Id="rIdTripLink41" Type="http://schemas.openxmlformats.org/officeDocument/2006/relationships/hyperlink" Target="https://www.nezu-muse.or.jp/jp/visit/cafe/" TargetMode="External" /><ns0:Relationship Id="rIdTripLink42" Type="http://schemas.openxmlformats.org/officeDocument/2006/relationships/hyperlink" Target="https://www.e-tix.jp/nezu-muse/en/" TargetMode="External" /><ns0:Relationship Id="rIdTripLink43"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/><ns0:Relationship Id="rIdTripLink44" Type="http://schemas.openxmlformats.org/officeDocument/2006/relationships/hyperlink" Target="https://gajoen-tokyo.hiltonjapan.co.jp/restaurants/kanade-lounge" TargetMode="External" /><ns0:Relationship Id="rIdTripLink45" Type="http://schemas.openxmlformats.org/officeDocument/2006/relationships/hyperlink" Target="https://www.tablecheck.com/ja/shops/gajoentokyo-kanadelounge/reserve" TargetMode="External" /><ns0:Relationship Id="rIdTripLink46"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/><ns0:Relationship Id="rIdTripLink47" Type="http://schemas.openxmlformats.org/officeDocument/2006/relationships/hyperlink" Target="https://www.tokyo-park.or.jp/park/hama-rikyu/facility/index.html" TargetMode="External" /><ns0:Relationship Id="rIdTripLink48" Type="http://schemas.openxmlformats.org/officeDocument/2006/relationships/hyperlink" Target="https://www.tokyo-park.or.jp/park/hama-rikyu/" TargetMode="External" /><ns0:Relationship Id="rIdTripLink49"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/><ns0:Relationship Id="rIdTripLink50" Type="http://schemas.openxmlformats.org/officeDocument/2006/relationships/hyperlink" Target="https://tabelog.com/tokyo/A1306/A130602/13154538/" TargetMode="External" /><ns0:Relationship Id="rIdTripLink51" Type="http://schemas.openxmlformats.org/officeDocument/2006/relationships/hyperlink" Target="https://g080507.gorp.jp/" TargetMode="External" /><ns0:Relationship Id="rIdTripLink52"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/><ns0:Relationship Id="rIdTripLink53" Type="http://schemas.openxmlformats.org/officeDocument/2006/relationships/hyperlink" Target="https://www.koiwaifarmdining.co.jp/brands/orientcafe/" TargetMode="External" /><ns0:Relationship Id="rIdTripLink54" Type="http://schemas.openxmlformats.org/officeDocument/2006/relationships/hyperlink" Target="https://www.tablecheck.com/ja/shops/orientcafe/reserve" TargetMode="External" /><ns0:Relationship Id="rIdTripLink55"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/><ns0:Relationship Id="rIdTripLink56" Type="http://schemas.openxmlformats.org/officeDocument/2006/relationships/hyperlink" Target="https://safu.by-onko-chishin.com/" TargetMode="External" /><ns0:Relationship Id="rIdTripLink57" Type="http://schemas.openxmlformats.org/officeDocument/2006/relationships/hyperlink" Target="https://safu.by-onko-chishin.com/wp-content/uploads/2026/07/cafe-menu.pdf" TargetMode="External" /><ns0:Relationship Id="rIdTripLink58" Type="http://schemas.openxmlformats.org/officeDocument/2006/relationships/hyperlink" Target="https://cms.hiltonjapan.co.jp/wp-content/uploads/sites/9/2026/08/31110039/0828%E3%83%A9%E3%82%A6%E3%83%B3%E3%82%B8-.pdf" TargetMode="External" /><ns0:Relationship Id="rIdTripLink59" Type="http://schemas.openxmlformats.org/officeDocument/2006/relationships/hyperlink" Target="https://www.metro.tokyo.lg.jp/information/press/2026/08/2026082022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695F"/>
  </sheetPr>
  <sheetViews>
    <sheetView showGridLines="0" workbookViewId="0">
      <pane ySplit="7" topLeftCell="A8" activePane="bottomLeft" state="frozen"/>
    </sheetView>
  </sheetViews>
  <sheetFormatPr defaultRowHeight="15"/>
  <cols>
    <col min="1" max="1" width="11.880000114440918" hidden="0" customWidth="1"/>
    <col min="2" max="2" width="28.1299991607666" hidden="0" customWidth="1"/>
    <col min="3" max="3" width="25.6299991607666" hidden="0" customWidth="1"/>
    <col min="4" max="4" width="29.3799991607666" hidden="0" customWidth="1"/>
    <col min="5" max="5" width="26.8799991607666" hidden="0" customWidth="1"/>
    <col min="6" max="6" width="37.5" hidden="0" customWidth="1"/>
  </cols>
  <sheetData>
    <row r="1" ht="36" customHeight="1">
      <c r="A1" s="4" t="str">
        <v>도쿄 가족여행 | 맛집과 정원 카페 4박 5일</v>
      </c>
      <c r="B1" s="4"/>
      <c r="C1" s="4"/>
      <c r="D1" s="4"/>
      <c r="E1" s="4"/>
      <c r="F1" s="4"/>
    </row>
    <row r="2" ht="34" customHeight="1">
      <c r="A2" s="6" t="str">
        <v>2026.10.01(목)~10.05(월) · 성인 3명 기준 · 확인일 2026.09.27 · 시부야 스카이 제외</v>
      </c>
      <c r="B2" s="6"/>
      <c r="C2" s="6"/>
      <c r="D2" s="6"/>
      <c r="E2" s="6"/>
      <c r="F2" s="6"/>
    </row>
    <row r="3" ht="34" customHeight="1">
      <c r="A3" s="6" t="str">
        <v>최종 계획안: 시각은 목표이며 예약 완료·열차 확정 시각이 아닙니다. 기본은 10/2 가마쿠라, 우천 시 2·3일 전체 일정 교체. 실제 예약은 자동 변경되지 않습니다.</v>
      </c>
      <c r="B3" s="6"/>
      <c r="C3" s="6"/>
      <c r="D3" s="6"/>
      <c r="E3" s="6"/>
      <c r="F3" s="6"/>
    </row>
    <row r="4" ht="38" customHeight="1">
      <c r="A4" s="6" t="str">
        <v>원본 299곳을 후보로 읽고 동선·메뉴·영업 조건으로 선별했습니다. 미확인 목록 73건은 일정에 넣지 않았으며, 299곳 전체의 최신 리뷰를 검증한 것은 아닙니다.</v>
      </c>
      <c r="B4" s="6"/>
      <c r="C4" s="6"/>
      <c r="D4" s="6"/>
      <c r="E4" s="6"/>
      <c r="F4" s="6"/>
    </row>
    <row r="5" ht="38" customHeight="1">
      <c r="A5" s="6" t="str">
        <v>하루 주 카페 1곳. 서부 일정일은 카나데 14:00~15:30, 네즈·사샤는 교체 후보입니다. 일요일 하마리큐 다실은 날씨·체력에 따라 선택. 카페 6곳을 모두 가는 일정이 아닙니다.</v>
      </c>
      <c r="B5" s="6"/>
      <c r="C5" s="6"/>
      <c r="D5" s="6"/>
      <c r="E5" s="6"/>
      <c r="F5" s="6"/>
    </row>
    <row r="6" ht="26" customHeight="1">
      <c r="A6" s="8" t="str">
        <v>01  날짜별 동선 | 낮에는 관광, 저녁은 예약 가능한 식사 중심</v>
      </c>
      <c r="B6" s="8"/>
      <c r="C6" s="8"/>
      <c r="D6" s="8"/>
      <c r="E6" s="8"/>
      <c r="F6" s="8"/>
    </row>
    <row r="7" ht="32" customHeight="1">
      <c r="A7" s="10" t="str">
        <v>날짜</v>
      </c>
      <c r="B7" s="10" t="str">
        <v>동선·오전</v>
      </c>
      <c r="C7" s="10" t="str">
        <v>점심</v>
      </c>
      <c r="D7" s="10" t="str">
        <v>저녁</v>
      </c>
      <c r="E7" s="10" t="str">
        <v>간식·휴식</v>
      </c>
      <c r="F7" s="10" t="str">
        <v>바꿀 때의 기준</v>
      </c>
    </row>
    <row r="8" ht="150" customHeight="1">
      <c r="A8" s="13" t="n">
        <v>46296</v>
      </c>
      <c r="B8" s="5" t="str">
        <v>목요일 · 도착
나리타 → 신주쿠 → 숙소
기존 가이드 도착 16:30 기준</v>
      </c>
      <c r="C8" s="5" t="str">
        <v>기내 또는 출발 전
도쿄 점심 예약 없음</v>
      </c>
      <c r="D8" s="5" t="str">
        <v>20:15 이후 목표
하야시다 신주쿠 본점
입국·체크인 후 결정</v>
      </c>
      <c r="E8" s="5" t="str">
        <v>이날은 관광·술자리 추가 없음
숙소 복귀와 수면 우선</v>
      </c>
      <c r="F8" s="5" t="str">
        <v>라멘 대기 20분 이상 → 교자노 후쿠호
너무 늦으면 편의점·포장 식사
진로쿠는 저녁 영업 상충으로 보류</v>
      </c>
    </row>
    <row r="9" ht="150" customHeight="1">
      <c r="A9" s="16" t="n">
        <v>46297</v>
      </c>
      <c r="B9" s="15" t="str">
        <v>금요일 · 가마쿠라
08:30 신주쿠 출발 목표
역 주변 → 점심 → 하세 지역</v>
      </c>
      <c r="C9" s="15" t="str">
        <v>10:45 도착 / 11:00 목표
가마쿠라 아키모토
시라스·현지 채소</v>
      </c>
      <c r="D9" s="15" t="str">
        <v>18:00 로바타 쇼
귀환 후 오모이데 요코초는
15~20분 산책만</v>
      </c>
      <c r="E9" s="15" t="str">
        <v>대불 또는 하세데라 중 1곳
14:30 앉아서 휴식
15:30 전후 가마쿠라 출발 목표</v>
      </c>
      <c r="F9" s="15" t="str">
        <v>생시라스 미입고 → 익힌 시라스
비·피로 시 하세 지역 축소
신주쿠 귀환 지연 시 산책 생략
로바타 지하 계단 가능 여부 확인</v>
      </c>
    </row>
    <row r="10" ht="150" customHeight="1">
      <c r="A10" s="13" t="n">
        <v>46298</v>
      </c>
      <c r="B10" s="5" t="str">
        <v>토요일 · 서부 도쿄
09:00 메이지신궁 짧게
오모테산도 → 메구로 → 에비스
12:30 산책과 이동 여유</v>
      </c>
      <c r="C10" s="5" t="str">
        <v>10:45 도착 / 11:00 목표
마이센 아오야마 본점
돈가스 정식</v>
      </c>
      <c r="D10" s="5" t="str">
        <v>17:30 폰가 에비스
고가 선택, 부담되면 미도리로
미도리 선택 시 에비스 쇼핑 생략</v>
      </c>
      <c r="E10" s="5" t="str">
        <v>14:00~15:30 카나데 라운지
16:00 에비스 그릇 1곳(선택)
네즈·사샤는 카나데 대체 후보
기본안에 두 카페를 더하지 않음</v>
      </c>
      <c r="F10" s="5" t="str">
        <v>비·피로 시 신궁/쇼핑 생략
가마쿠라 10/3 선택 시 이 일정은 10/2로
로바타·카나데·폰가 실제 예약은
변경 가능 여부·취소료 확인 후 이동</v>
      </c>
    </row>
    <row r="11" ht="150" customHeight="1">
      <c r="A11" s="16" t="n">
        <v>46299</v>
      </c>
      <c r="B11" s="15" t="str">
        <v>일요일 · 동부 도쿄
09:30 아사쿠사
점심 → 하마리큐 → 긴자
15:45 긴자 출발 목표</v>
      </c>
      <c r="C11" s="15" t="str">
        <v>11:00 나미키 야부소바
소바·튀김
저녁 장어를 위해 가볍게</v>
      </c>
      <c r="D11" s="15" t="str">
        <v>17:00 우나후지
도쿄 오페라시티 53F
상 히츠마부시 / 일반석</v>
      </c>
      <c r="E11" s="15" t="str">
        <v>12:45~14:15 하마리큐·오차야
14:45~15:40 긴자 짧게
가메주·시세이도는 필수 아님
차를 마시며 쉬는 시간 확보</v>
      </c>
      <c r="F11" s="15" t="str">
        <v>비·보행 부담 시 하마리큐 제외
긴자 후 사후 15:00~15:45 대안
사후 줄 있으면 근처 카페로
하쓰다이·53F 이동 75분 여유
가든뷰·조용한 좌석 보장 없음</v>
      </c>
    </row>
    <row r="12" ht="150" customHeight="1">
      <c r="A12" s="13" t="n">
        <v>46300</v>
      </c>
      <c r="B12" s="5" t="str">
        <v>월요일 · 귀국
숙소 아침 → 체크아웃
신주쿠역에서 공항 이동</v>
      </c>
      <c r="C12" s="5" t="str">
        <v>역 도시락·가벼운 포장
유명 식당 줄서기 없음</v>
      </c>
      <c r="D12" s="5" t="str">
        <v>귀국 후 식사
도쿄 식사 예산에 제외</v>
      </c>
      <c r="E12" s="5" t="str">
        <v>음료·간식은 공항에서 여유 있게
출국 전 쇼핑을 위해 늦게
출발하는 계획은 피함</v>
      </c>
      <c r="F12" s="5" t="str">
        <v>11시대 NEX 후보: 실제 열차 확인
나리타 T3 13:00~13:20 도착 목표
기존 가이드 16:20 출발 기준
항공권·터미널은 예약 내역 재확인</v>
      </c>
    </row>
    <row r="13">
      <c r="A13" s="3"/>
      <c r="B13" s="3"/>
      <c r="C13" s="3"/>
      <c r="D13" s="3"/>
      <c r="E13" s="3"/>
      <c r="F13" s="3"/>
    </row>
    <row r="14" ht="44" customHeight="1">
      <c r="A14" s="6" t="str">
        <v>2일↔3일 교체: 가마쿠라·로바타는 토요일, 서부 도쿄·카나데·폰가는 금요일로 통째로 이동. 예약은 자동 변경되지 않음. 9/30·10/1 저녁 9~16시 강수·바람 확인. 실제 열차·예약·계단·알레르기는 재확인.</v>
      </c>
      <c r="B14" s="6"/>
      <c r="C14" s="6"/>
      <c r="D14" s="6"/>
      <c r="E14" s="6"/>
      <c r="F14" s="6"/>
    </row>
    <row r="15">
      <c r="A15" s="3"/>
      <c r="B15" s="3"/>
      <c r="C15" s="3"/>
      <c r="D15" s="3"/>
      <c r="E15" s="3"/>
      <c r="F15" s="3"/>
    </row>
    <row r="16" ht="26" customHeight="1">
      <c r="A16" s="8" t="str">
        <v>02  식비와 카페 입장료 | 계획 예산, 단위 JPY</v>
      </c>
      <c r="B16" s="8"/>
      <c r="C16" s="8"/>
      <c r="D16" s="8"/>
      <c r="E16" s="8"/>
      <c r="F16" s="8"/>
    </row>
    <row r="17" ht="30" customHeight="1">
      <c r="A17" s="3" t="str">
        <v>성인 인원</v>
      </c>
      <c r="B17" s="18" t="n">
        <v>3</v>
      </c>
      <c r="C17" s="3" t="str">
        <v>아침 1회 예산</v>
      </c>
      <c r="D17" s="18" t="n">
        <v>1000</v>
      </c>
      <c r="E17" s="3" t="str">
        <v>아침 횟수</v>
      </c>
      <c r="F17" s="18" t="n">
        <v>4</v>
      </c>
    </row>
    <row r="18" ht="32" customHeight="1">
      <c r="A18" s="10" t="str">
        <v>구분</v>
      </c>
      <c r="B18" s="10" t="str">
        <v>항목</v>
      </c>
      <c r="C18" s="10" t="str">
        <v>1인 하한</v>
      </c>
      <c r="D18" s="10" t="str">
        <v>1인 상한</v>
      </c>
      <c r="E18" s="10" t="str">
        <v>가족 하한</v>
      </c>
      <c r="F18" s="10" t="str">
        <v>가족 상한</v>
      </c>
    </row>
    <row r="19" ht="30" customHeight="1">
      <c r="A19" s="3" t="str">
        <v>10/1 저녁</v>
      </c>
      <c r="B19" s="3" t="str">
        <v>라멘 하야시다 신주쿠 본점</v>
      </c>
      <c r="C19" s="19" t="n">
        <f>'맛집 상세'!E7</f>
        <v>1500</v>
      </c>
      <c r="D19" s="19" t="n">
        <f>'맛집 상세'!F7</f>
        <v>2000</v>
      </c>
      <c r="E19" s="19" t="n">
        <f>C19*$B$17</f>
        <v>4500</v>
      </c>
      <c r="F19" s="19" t="n">
        <f>D19*$B$17</f>
        <v>6000</v>
      </c>
    </row>
    <row r="20" ht="30" customHeight="1">
      <c r="A20" s="3" t="str">
        <v>10/2 점심</v>
      </c>
      <c r="B20" s="3" t="str">
        <v>가마쿠라 아키모토</v>
      </c>
      <c r="C20" s="19" t="n">
        <f>'맛집 상세'!E8</f>
        <v>2500</v>
      </c>
      <c r="D20" s="19" t="n">
        <f>'맛집 상세'!F8</f>
        <v>3500</v>
      </c>
      <c r="E20" s="19" t="n">
        <f>C20*$B$17</f>
        <v>7500</v>
      </c>
      <c r="F20" s="19" t="n">
        <f>D20*$B$17</f>
        <v>10500</v>
      </c>
    </row>
    <row r="21" ht="30" customHeight="1">
      <c r="A21" s="3" t="str">
        <v>10/2 저녁</v>
      </c>
      <c r="B21" s="3" t="str">
        <v>로바타 쇼</v>
      </c>
      <c r="C21" s="19" t="n">
        <f>'맛집 상세'!E9</f>
        <v>5000</v>
      </c>
      <c r="D21" s="19" t="n">
        <f>'맛집 상세'!F9</f>
        <v>7000</v>
      </c>
      <c r="E21" s="19" t="n">
        <f>C21*$B$17</f>
        <v>15000</v>
      </c>
      <c r="F21" s="19" t="n">
        <f>D21*$B$17</f>
        <v>21000</v>
      </c>
    </row>
    <row r="22" ht="30" customHeight="1">
      <c r="A22" s="3" t="str">
        <v>10/3 점심</v>
      </c>
      <c r="B22" s="3" t="str">
        <v>마이센 아오야마 본점</v>
      </c>
      <c r="C22" s="19" t="n">
        <f>'맛집 상세'!E10</f>
        <v>2500</v>
      </c>
      <c r="D22" s="19" t="n">
        <f>'맛집 상세'!F10</f>
        <v>3500</v>
      </c>
      <c r="E22" s="19" t="n">
        <f>C22*$B$17</f>
        <v>7500</v>
      </c>
      <c r="F22" s="19" t="n">
        <f>D22*$B$17</f>
        <v>10500</v>
      </c>
    </row>
    <row r="23" ht="30" customHeight="1">
      <c r="A23" s="3" t="str">
        <v>10/3 저녁</v>
      </c>
      <c r="B23" s="3" t="str">
        <v>야키니쿠 폰가 에비스</v>
      </c>
      <c r="C23" s="19" t="n">
        <f>'맛집 상세'!E11</f>
        <v>12000</v>
      </c>
      <c r="D23" s="19" t="n">
        <f>'맛집 상세'!F11</f>
        <v>14000</v>
      </c>
      <c r="E23" s="19" t="n">
        <f>C23*$B$17</f>
        <v>36000</v>
      </c>
      <c r="F23" s="19" t="n">
        <f>D23*$B$17</f>
        <v>42000</v>
      </c>
    </row>
    <row r="24" ht="30" customHeight="1">
      <c r="A24" s="3" t="str">
        <v>10/4 점심</v>
      </c>
      <c r="B24" s="3" t="str">
        <v>나미키 야부소바</v>
      </c>
      <c r="C24" s="19" t="n">
        <f>'맛집 상세'!E12</f>
        <v>1500</v>
      </c>
      <c r="D24" s="19" t="n">
        <f>'맛집 상세'!F12</f>
        <v>2500</v>
      </c>
      <c r="E24" s="19" t="n">
        <f>C24*$B$17</f>
        <v>4500</v>
      </c>
      <c r="F24" s="19" t="n">
        <f>D24*$B$17</f>
        <v>7500</v>
      </c>
    </row>
    <row r="25" ht="30" customHeight="1">
      <c r="A25" s="3" t="str">
        <v>10/4 저녁</v>
      </c>
      <c r="B25" s="3" t="str">
        <v>우나후지 도쿄 오페라시티점</v>
      </c>
      <c r="C25" s="19" t="n">
        <f>'맛집 상세'!E13</f>
        <v>6500</v>
      </c>
      <c r="D25" s="19" t="n">
        <f>'맛집 상세'!F13</f>
        <v>8500</v>
      </c>
      <c r="E25" s="19" t="n">
        <f>C25*$B$17</f>
        <v>19500</v>
      </c>
      <c r="F25" s="19" t="n">
        <f>D25*$B$17</f>
        <v>25500</v>
      </c>
    </row>
    <row r="26" ht="30" customHeight="1">
      <c r="A26" s="3" t="str">
        <v>10/5 점심</v>
      </c>
      <c r="B26" s="3" t="str">
        <v>역 도시락·포장</v>
      </c>
      <c r="C26" s="19" t="n">
        <v>1500</v>
      </c>
      <c r="D26" s="19" t="n">
        <v>2000</v>
      </c>
      <c r="E26" s="19" t="n">
        <f>C26*$B$17</f>
        <v>4500</v>
      </c>
      <c r="F26" s="19" t="n">
        <f>D26*$B$17</f>
        <v>6000</v>
      </c>
    </row>
    <row r="27" ht="30" customHeight="1">
      <c r="A27" s="3" t="str">
        <v>아침</v>
      </c>
      <c r="B27" s="3" t="str">
        <v>1회 예산 × 횟수</v>
      </c>
      <c r="C27" s="19" t="n">
        <f>$D$17*$F$17</f>
        <v>4000</v>
      </c>
      <c r="D27" s="19" t="n">
        <f>$D$17*$F$17</f>
        <v>4000</v>
      </c>
      <c r="E27" s="19" t="n">
        <f>C27*$B$17</f>
        <v>12000</v>
      </c>
      <c r="F27" s="19" t="n">
        <f>D27*$B$17</f>
        <v>12000</v>
      </c>
    </row>
    <row r="28" ht="30" customHeight="1">
      <c r="A28" s="3" t="str">
        <v>카페</v>
      </c>
      <c r="B28" s="3" t="str">
        <v>카나데 라운지</v>
      </c>
      <c r="C28" s="19" t="n">
        <f>'맛집 상세'!E23</f>
        <v>1600</v>
      </c>
      <c r="D28" s="19" t="n">
        <f>'맛집 상세'!F23</f>
        <v>4200</v>
      </c>
      <c r="E28" s="19" t="n">
        <f>C28*$B$17</f>
        <v>4800</v>
      </c>
      <c r="F28" s="19" t="n">
        <f>D28*$B$17</f>
        <v>12600</v>
      </c>
    </row>
    <row r="29" ht="30" customHeight="1">
      <c r="A29" s="3" t="str">
        <v>교체 후보</v>
      </c>
      <c r="B29" s="3" t="str">
        <v>네즈: 기본 합계 제외</v>
      </c>
      <c r="C29" s="19" t="n">
        <v>0</v>
      </c>
      <c r="D29" s="19" t="n">
        <v>0</v>
      </c>
      <c r="E29" s="19" t="n">
        <v>0</v>
      </c>
      <c r="F29" s="19" t="n">
        <v>0</v>
      </c>
    </row>
    <row r="30" ht="30" customHeight="1">
      <c r="A30" s="3" t="str">
        <v>카페</v>
      </c>
      <c r="B30" s="3" t="str">
        <v>나카지마노 오차야</v>
      </c>
      <c r="C30" s="19" t="n">
        <f>'맛집 상세'!E24</f>
        <v>900</v>
      </c>
      <c r="D30" s="19" t="n">
        <f>'맛집 상세'!F24</f>
        <v>1500</v>
      </c>
      <c r="E30" s="19" t="n">
        <f>C30*$B$17</f>
        <v>2700</v>
      </c>
      <c r="F30" s="19" t="n">
        <f>D30*$B$17</f>
        <v>4500</v>
      </c>
    </row>
    <row r="31" ht="30" customHeight="1">
      <c r="A31" s="3" t="str">
        <v>추가 간식</v>
      </c>
      <c r="B31" s="3" t="str">
        <v>위 카페 외 여행 전체 여유액</v>
      </c>
      <c r="C31" s="19" t="n">
        <v>1000</v>
      </c>
      <c r="D31" s="19" t="n">
        <v>2000</v>
      </c>
      <c r="E31" s="19" t="n">
        <f>C31*$B$17</f>
        <v>3000</v>
      </c>
      <c r="F31" s="19" t="n">
        <f>D31*$B$17</f>
        <v>6000</v>
      </c>
    </row>
    <row r="32" ht="34" customHeight="1">
      <c r="A32" s="10" t="str">
        <v>식비 소계</v>
      </c>
      <c r="B32" s="10" t="str">
        <v>주요 식사 + 카페 2곳 포함</v>
      </c>
      <c r="C32" s="21" t="n">
        <f>SUM(C19:C31)</f>
        <v>40500</v>
      </c>
      <c r="D32" s="21" t="n">
        <f>SUM(D19:D31)</f>
        <v>54700</v>
      </c>
      <c r="E32" s="21" t="n">
        <f>SUM(E19:E31)</f>
        <v>121500</v>
      </c>
      <c r="F32" s="21" t="n">
        <f>SUM(F19:F31)</f>
        <v>164100</v>
      </c>
    </row>
    <row r="33" ht="30" customHeight="1">
      <c r="A33" s="3"/>
      <c r="B33" s="3"/>
      <c r="C33" s="19"/>
      <c r="D33" s="19"/>
      <c r="E33" s="19"/>
      <c r="F33" s="19"/>
    </row>
    <row r="34" ht="30" customHeight="1">
      <c r="A34" s="3" t="str">
        <v>교체 후보</v>
      </c>
      <c r="B34" s="3" t="str">
        <v>네즈 입장료: 기본 합계 제외</v>
      </c>
      <c r="C34" s="19" t="n">
        <v>0</v>
      </c>
      <c r="D34" s="19" t="n">
        <v>0</v>
      </c>
      <c r="E34" s="19" t="n">
        <v>0</v>
      </c>
      <c r="F34" s="19" t="n">
        <v>0</v>
      </c>
    </row>
    <row r="35" ht="30" customHeight="1">
      <c r="A35" s="3" t="str">
        <v>입장료</v>
      </c>
      <c r="B35" s="3" t="str">
        <v>하마리큐 / 성인 일반</v>
      </c>
      <c r="C35" s="19" t="n">
        <v>300</v>
      </c>
      <c r="D35" s="19" t="n">
        <v>300</v>
      </c>
      <c r="E35" s="19" t="n">
        <f>C35*$B$17</f>
        <v>900</v>
      </c>
      <c r="F35" s="19" t="n">
        <f>D35*$B$17</f>
        <v>900</v>
      </c>
    </row>
    <row r="36" ht="34" customHeight="1">
      <c r="A36" s="10" t="str">
        <v>입장 소계</v>
      </c>
      <c r="B36" s="10" t="str">
        <v>선택 방문 하마리큐만</v>
      </c>
      <c r="C36" s="21" t="n">
        <f>SUM(C34:C35)</f>
        <v>300</v>
      </c>
      <c r="D36" s="21" t="n">
        <f>SUM(D34:D35)</f>
        <v>300</v>
      </c>
      <c r="E36" s="21" t="n">
        <f>SUM(E34:E35)</f>
        <v>900</v>
      </c>
      <c r="F36" s="21" t="n">
        <f>SUM(F34:F35)</f>
        <v>900</v>
      </c>
    </row>
    <row r="37" ht="34" customHeight="1">
      <c r="A37" s="10" t="str">
        <v>총계</v>
      </c>
      <c r="B37" s="10" t="str">
        <v>식비 + 위 입장료</v>
      </c>
      <c r="C37" s="21" t="n">
        <f>C32+C36</f>
        <v>40800</v>
      </c>
      <c r="D37" s="21" t="n">
        <f>D32+D36</f>
        <v>55000</v>
      </c>
      <c r="E37" s="21" t="n">
        <f>E32+E36</f>
        <v>122400</v>
      </c>
      <c r="F37" s="21" t="n">
        <f>F32+F36</f>
        <v>165000</v>
      </c>
    </row>
    <row r="38" ht="44" customHeight="1">
      <c r="A38" s="6" t="str">
        <v>카나데는 세금·서비스 15% 포함, 폰가는 서비스 10% 별도. 네즈 선택 시 카나데를 빼고 네즈 음료 800~1,700엔+입장 1,400엔/인을 더합니다. 총계는 항공·숙박·교통·쇼핑·기타 관광 입장료 제외.</v>
      </c>
      <c r="B38" s="6"/>
      <c r="C38" s="6"/>
      <c r="D38" s="6"/>
      <c r="E38" s="6"/>
      <c r="F38" s="6"/>
    </row>
    <row r="39">
      <c r="A39" s="3"/>
      <c r="B39" s="3"/>
      <c r="C39" s="3"/>
      <c r="D39" s="3"/>
      <c r="E39" s="3"/>
      <c r="F39" s="3"/>
    </row>
    <row r="40" ht="26" customHeight="1">
      <c r="A40" s="8" t="str">
        <v>03  출발 전 먼저 처리할 것 | 예약·티켓 결제는 아직 하지 않음</v>
      </c>
      <c r="B40" s="8"/>
      <c r="C40" s="8"/>
      <c r="D40" s="8"/>
      <c r="E40" s="8"/>
      <c r="F40" s="8"/>
    </row>
    <row r="41" ht="32" customHeight="1">
      <c r="A41" s="10" t="str">
        <v>우선순위</v>
      </c>
      <c r="B41" s="10" t="str">
        <v>대상</v>
      </c>
      <c r="C41" s="10" t="str">
        <v>희망 시각</v>
      </c>
      <c r="D41" s="10" t="str">
        <v>확인할 것</v>
      </c>
      <c r="E41" s="10" t="str">
        <v>현재 상태</v>
      </c>
      <c r="F41" s="10" t="str">
        <v>주의</v>
      </c>
    </row>
    <row r="42" ht="60" customHeight="1">
      <c r="A42" s="3" t="str">
        <v>1</v>
      </c>
      <c r="B42" s="3" t="str">
        <v>우나후지 오페라시티</v>
      </c>
      <c r="C42" s="3" t="str">
        <v>10/4 17:00</v>
      </c>
      <c r="D42" s="3" t="str">
        <v>일반석 성인 3명 / 단품 가능 여부</v>
      </c>
      <c r="E42" s="3" t="str">
        <v>미예약·빈자리 미확인</v>
      </c>
      <c r="F42" s="3" t="str">
        <v>창가 보장 없음. 개인실을 선택하면 요금·취소 조건 확인.</v>
      </c>
    </row>
    <row r="43" ht="60" customHeight="1">
      <c r="A43" s="3" t="str">
        <v>2</v>
      </c>
      <c r="B43" s="3" t="str">
        <v>폰가 에비스</v>
      </c>
      <c r="C43" s="3" t="str">
        <v>10/3 17:30</v>
      </c>
      <c r="D43" s="3" t="str">
        <v>코스 총액·메뉴 대체·엘리베이터</v>
      </c>
      <c r="E43" s="3" t="str">
        <v>미예약·빈자리 미확인</v>
      </c>
      <c r="F43" s="3" t="str">
        <v>10% 서비스료 포함 총액 확인. 생고기·내장 제외 요청 수용 여부 확인.</v>
      </c>
    </row>
    <row r="44" ht="60" customHeight="1">
      <c r="A44" s="3" t="str">
        <v>3</v>
      </c>
      <c r="B44" s="3" t="str">
        <v>로바타 쇼</v>
      </c>
      <c r="C44" s="3" t="str">
        <v>10/2 18:00</v>
      </c>
      <c r="D44" s="3" t="str">
        <v>지하 계단·의자 좌석 3명</v>
      </c>
      <c r="E44" s="3" t="str">
        <v>미예약·빈자리 미확인</v>
      </c>
      <c r="F44" s="3" t="str">
        <v>계단 이용이 불편하면 예약하지 말고 다른 식당으로 변경.</v>
      </c>
    </row>
    <row r="45" ht="60" customHeight="1">
      <c r="A45" s="3" t="str">
        <v>4</v>
      </c>
      <c r="B45" s="3" t="str">
        <v>카나데 라운지</v>
      </c>
      <c r="C45" s="3" t="str">
        <v>서부 일정일 14:00</v>
      </c>
      <c r="D45" s="3" t="str">
        <v>좌석만 성인 3명 / 시간·취소 규정</v>
      </c>
      <c r="E45" s="3" t="str">
        <v>미예약·빈자리 미확인</v>
      </c>
      <c r="F45" s="3" t="str">
        <v>기본 10/3, 가마쿠라 날짜 변경 시 10/2. 실제 예약은 별도 변경. 창가 보장 없음.</v>
      </c>
    </row>
    <row r="46" ht="60" customHeight="1">
      <c r="A46" s="3" t="str">
        <v>5</v>
      </c>
      <c r="B46" s="3" t="str">
        <v>네즈 미술관 (교체 시만)</v>
      </c>
      <c r="C46" s="3" t="str">
        <v>카나데 대신 선택</v>
      </c>
      <c r="D46" s="3" t="str">
        <v>성인 온라인 입장권 / 시간 구간</v>
      </c>
      <c r="E46" s="3" t="str">
        <v>미구매·입장 가용 여부 미확인</v>
      </c>
      <c r="F46" s="3" t="str">
        <v>카페만 이용 불가. 미술관 표는 카페 좌석을 보장하지 않음. 카나데와 중복 추가하지 않음.</v>
      </c>
    </row>
    <row r="47" ht="60" customHeight="1">
      <c r="A47" s="3" t="str">
        <v>6</v>
      </c>
      <c r="B47" s="3" t="str">
        <v>항공권·공항열차</v>
      </c>
      <c r="C47" s="3" t="str">
        <v>출발 전</v>
      </c>
      <c r="D47" s="3" t="str">
        <v>편명·터미널·NEX 지정석</v>
      </c>
      <c r="E47" s="3" t="str">
        <v>기존 가이드 기준, 재확인 필요</v>
      </c>
      <c r="F47" s="3" t="str">
        <v>NEX 11시대는 계획용 구간이지 발권 완료 열차가 아님.</v>
      </c>
    </row>
    <row r="48" ht="60" customHeight="1">
      <c r="A48" s="3" t="str">
        <v>7</v>
      </c>
      <c r="B48" s="3" t="str">
        <v>가족 취향·보행 부담</v>
      </c>
      <c r="C48" s="3" t="str">
        <v>출발 전</v>
      </c>
      <c r="D48" s="3" t="str">
        <v>알레르기·생식 선호·계단 이용</v>
      </c>
      <c r="E48" s="3" t="str">
        <v>미확인</v>
      </c>
      <c r="F48" s="3" t="str">
        <v>맛집·사진보다 가족이 편하게 먹고 앉아 쉴 수 있는지를 우선.</v>
      </c>
    </row>
    <row r="49">
      <c r="A49" s="3"/>
      <c r="B49" s="3"/>
      <c r="C49" s="3"/>
      <c r="D49" s="3"/>
      <c r="E49" s="3"/>
      <c r="F49" s="3"/>
    </row>
    <row r="50" ht="36" customHeight="1">
      <c r="A50" s="6" t="str">
        <v>선별은 가족여행 동선·공간·휴식을 기준으로 한 추천입니다. 모든 곳의 맛·소음·창가 자리·특정 대기시간을 보장하지 않습니다. 사샤는 13세 미만 입장 불가, 사후는 월요일 휴무입니다.</v>
      </c>
      <c r="B50" s="6"/>
      <c r="C50" s="6"/>
      <c r="D50" s="6"/>
      <c r="E50" s="6"/>
      <c r="F50" s="6"/>
    </row>
    <row r="51" ht="34" customHeight="1">
      <c r="A51" s="6" t="str">
        <v>원본 맛집 파일과 이전 엑셀은 보존했습니다. 이번 최종안은 웹·캘린더와 같은 기본 동선입니다. 웹에서 날짜를 바꿔도 이 엑셀은 기본안이므로 14행의 교체 안내를 따르세요.</v>
      </c>
      <c r="B51" s="6"/>
      <c r="C51" s="6"/>
      <c r="D51" s="6"/>
      <c r="E51" s="6"/>
      <c r="F51" s="6"/>
    </row>
    <row r="52">
      <c r="A52" s="3"/>
      <c r="B52" s="3"/>
      <c r="C52" s="3"/>
      <c r="D52" s="3"/>
      <c r="E52" s="3"/>
      <c r="F52" s="3"/>
    </row>
    <row r="53" ht="34" customHeight="1">
      <c r="A53" s="22" t="str">
        <v>최종 웹 가이드</v>
      </c>
      <c r="B53" s="3" t="str">
        <v>원본: 도쿄_맛집리스트_20260927_재검수.xlsx / 각 매장의 원본 번호·행은 맛집 상세 I열. 추가 카페는 공식 안내 위주로 별도 확인.</v>
      </c>
      <c r="C53" s="3"/>
      <c r="D53" s="3"/>
      <c r="E53" s="3"/>
      <c r="F53" s="3"/>
    </row>
    <row r="54">
      <c r="A54" s="3"/>
      <c r="B54" s="3"/>
      <c r="C54" s="3"/>
      <c r="D54" s="3"/>
      <c r="E54" s="3"/>
      <c r="F54" s="3"/>
    </row>
    <row r="55" ht="26" customHeight="1">
      <c r="A55" s="8" t="str">
        <v>04  카페만 고른다면 | 6곳을 모두 방문하는 일정이 아님</v>
      </c>
      <c r="B55" s="8"/>
      <c r="C55" s="8"/>
      <c r="D55" s="8"/>
      <c r="E55" s="8"/>
      <c r="F55" s="8"/>
    </row>
    <row r="56" ht="36" customHeight="1">
      <c r="A56" s="6" t="str">
        <v>한 곳만: 카나데 라운지. 가족과 편하게 머무는 공간을 우선했습니다. 정원 산책과 미술관을 더 원한다면 네즈로 교체하고 카나데는 빼세요. 네즈 입장료·카페 대기는 별도입니다.</v>
      </c>
      <c r="B56" s="6"/>
      <c r="C56" s="6"/>
      <c r="D56" s="6"/>
      <c r="E56" s="6"/>
      <c r="F56" s="6"/>
    </row>
    <row r="57" ht="36" customHeight="1">
      <c r="A57" s="6" t="str">
        <v>일본식 다실 경험: 나카지마노 오차야. 맑은 날 하마리큐 산책과 묶습니다. 비 오면 사후 또는 긴자 시세이도 중 한 곳으로 바꾸고 둘 다 넣지 않습니다.</v>
      </c>
      <c r="B57" s="6"/>
      <c r="C57" s="6"/>
      <c r="D57" s="6"/>
      <c r="E57" s="6"/>
      <c r="F57" s="6"/>
    </row>
    <row r="58" ht="36" customHeight="1">
      <c r="A58" s="6" t="str">
        <v>미니멀한 건축 취향: 사샤 카네타나카. 네즈·카나데 대신 토요일 14시 카페 방문을 선택합니다. 오리엔토는 동양문고 중심으로 반일을 새로 짤 때 적합합니다.</v>
      </c>
      <c r="B58" s="6"/>
      <c r="C58" s="6"/>
      <c r="D58" s="6"/>
      <c r="E58" s="6"/>
      <c r="F58" s="6"/>
    </row>
    <row r="59">
      <c r="A59" s="3"/>
      <c r="B59" s="3"/>
      <c r="C59" s="3"/>
      <c r="D59" s="3"/>
      <c r="E59" s="3"/>
      <c r="F59" s="3"/>
    </row>
    <row r="60">
      <c r="A60" s="3"/>
      <c r="B60" s="3"/>
      <c r="C60" s="3"/>
      <c r="D60" s="3"/>
      <c r="E60" s="3"/>
      <c r="F60" s="3"/>
    </row>
    <row r="61">
      <c r="A61" s="3"/>
      <c r="B61" s="3"/>
      <c r="C61" s="3"/>
      <c r="D61" s="3"/>
      <c r="E61" s="3"/>
      <c r="F61" s="3"/>
    </row>
  </sheetData>
  <mergeCells>
    <mergeCell ref="A1:F1"/>
    <mergeCell ref="A2:F2"/>
    <mergeCell ref="A3:F3"/>
    <mergeCell ref="A4:F4"/>
    <mergeCell ref="A5:F5"/>
    <mergeCell ref="A6:F6"/>
    <mergeCell ref="A14:F14"/>
    <mergeCell ref="A16:F16"/>
    <mergeCell ref="A38:F38"/>
    <mergeCell ref="A40:F40"/>
    <mergeCell ref="A50:F50"/>
    <mergeCell ref="A51:F51"/>
    <mergeCell ref="B53:F53"/>
    <mergeCell ref="A55:F55"/>
    <mergeCell ref="A56:F56"/>
    <mergeCell ref="A57:F57"/>
    <mergeCell ref="A58:F58"/>
  </mergeCells>
  <hyperlinks>
    <hyperlink ref="A53" r:id="rIdTripLink1" display="최종 웹 가이드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A8B39"/>
  </sheetPr>
  <sheetViews>
    <sheetView showGridLines="0" workbookViewId="0">
      <pane xSplit="3" ySplit="6" topLeftCell="D7" activePane="bottomRight" state="frozen"/>
    </sheetView>
  </sheetViews>
  <sheetFormatPr defaultRowHeight="15"/>
  <cols>
    <col min="1" max="1" width="7.25" hidden="0" customWidth="1"/>
    <col min="2" max="2" width="13.75" hidden="0" customWidth="1"/>
    <col min="3" max="3" width="30.6299991607666" hidden="0" customWidth="1"/>
    <col min="4" max="4" width="38.75" hidden="0" customWidth="1"/>
    <col min="5" max="5" width="11.25" hidden="0" customWidth="1"/>
    <col min="6" max="6" width="11.25" hidden="0" customWidth="1"/>
    <col min="7" max="7" width="37.5" hidden="0" customWidth="1"/>
    <col min="8" max="8" width="41.25" hidden="0" customWidth="1"/>
    <col min="9" max="9" width="27.5" hidden="0" customWidth="1"/>
    <col min="10" max="10" width="11.880000114440918" hidden="0" customWidth="1"/>
    <col min="11" max="11" width="11.880000114440918" hidden="0" customWidth="1"/>
    <col min="12" max="12" width="11.880000114440918" hidden="0" customWidth="1"/>
  </cols>
  <sheetData>
    <row r="1" ht="36" customHeight="1">
      <c r="A1" s="23" t="str">
        <v>맛집 상세 | 기존 식당·간식 15곳 + 분위기 카페 6곳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ht="34" customHeight="1">
      <c r="A2" s="6" t="str">
        <v>기준일 2026.09.27. E·F열은 1인 1회 계획 예산입니다. 고정 메뉴값이 확인된 경우 D·H·I열에 별도로 적었습니다. 대안 식당은 기본 식비 합계에 중복 반영하지 않았습니다.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34" customHeight="1">
      <c r="A3" s="6" t="str">
        <v>지도: 기존 목록과 동일한 지점은 원본 링크를 유지했습니다. 신규 후보와 시세이도 3F 카페는 상호·주소 검색 링크로, 특정 장소 ID가 검증된 링크와 구분됩니다.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ht="34" customHeight="1">
      <c r="A4" s="6" t="str">
        <v>공식 안내도 임시휴무·재고·만석을 보장하지 않습니다. I열은 확인 근거, K열은 대표 출처, L열은 추가 대조 출처입니다. 빈 L열은 추가 링크 없음입니다.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36" customHeight="1">
      <c r="A6" s="39" t="str">
        <v>번호</v>
      </c>
      <c r="B6" s="39" t="str">
        <v>사용 구분</v>
      </c>
      <c r="C6" s="39" t="str">
        <v>상호·지점 / 주소</v>
      </c>
      <c r="D6" s="39" t="str">
        <v>대표 메뉴 · 고른 이유</v>
      </c>
      <c r="E6" s="39" t="str">
        <v>하한 JPY</v>
      </c>
      <c r="F6" s="39" t="str">
        <v>상한 JPY</v>
      </c>
      <c r="G6" s="39" t="str">
        <v>영업 · 예약 조건</v>
      </c>
      <c r="H6" s="39" t="str">
        <v>가족 방문 · 주의사항</v>
      </c>
      <c r="I6" s="39" t="str">
        <v>확인 근거 · 원본</v>
      </c>
      <c r="J6" s="39" t="str">
        <v>지도</v>
      </c>
      <c r="K6" s="39" t="str">
        <v>대표 출처</v>
      </c>
      <c r="L6" s="39" t="str">
        <v>보조 출처</v>
      </c>
    </row>
    <row r="7" ht="142" customHeight="1">
      <c r="A7" s="5" t="n">
        <v>1</v>
      </c>
      <c r="B7" s="28" t="str">
        <v>일정
10/1 저녁</v>
      </c>
      <c r="C7" s="29" t="str">
        <v>라멘 하야시다 신주쿠 본점
らぁ麺 はやし田 新宿本店
新宿3-31-5 ペガサス館102
TEL 03-6380-0047</v>
      </c>
      <c r="D7" s="5" t="str">
        <v>간장 라멘
오리와 닭을 쓰는 육수가 특징. 도착일에 무거운 코스 대신 한 그릇으로 마무리.</v>
      </c>
      <c r="E7" s="30" t="n">
        <v>1500</v>
      </c>
      <c r="F7" s="30" t="n">
        <v>2000</v>
      </c>
      <c r="G7" s="5" t="str">
        <v>매일 11:00~23:00
20:15 이후 도착 상황에 맞춰 방문. 예약 식사로 묶지 않음.</v>
      </c>
      <c r="H7" s="5" t="str">
        <v>예상 대기가 20분을 넘으면 교자노 후쿠호로 전환. 입국·수하물 지연 시 맛집보다 체크인과 휴식 우선.</v>
      </c>
      <c r="I7" s="5" t="str">
        <v>원본 #136 / 143행
영업시간·육수: 운영사 공식</v>
      </c>
      <c r="J7" s="31" t="str">
        <v>원본 지도</v>
      </c>
      <c r="K7" s="31" t="str">
        <v>출처 보기</v>
      </c>
      <c r="L7" s="31"/>
    </row>
    <row r="8" ht="142" customHeight="1">
      <c r="A8" s="15" t="n">
        <v>2</v>
      </c>
      <c r="B8" s="32" t="str">
        <v>일정
10/2 점심</v>
      </c>
      <c r="C8" s="33" t="str">
        <v>가마쿠라 아키모토
鎌倉 秋本
鎌倉市小町1-6-15 i-ZA鎌倉3F
TEL 0467-25-3705</v>
      </c>
      <c r="D8" s="15" t="str">
        <v>시라스 덮밥·가마쿠라 채소
가마쿠라에 간 날 현지 식재료를 먹는 선택. 생시라스가 없으면 가마아게(삶은 시라스)로.</v>
      </c>
      <c r="E8" s="34" t="n">
        <v>2500</v>
      </c>
      <c r="F8" s="34" t="n">
        <v>3500</v>
      </c>
      <c r="G8" s="15" t="str">
        <v>점심 11:00~15:30 / 목요일 휴무
예약 불가. 금요일 10:45 도착 목표.</v>
      </c>
      <c r="H8" s="15" t="str">
        <v>생시라스는 당일 수급에 따라 다름. 대기 30분을 넘으면 근처에서 익힌 시라스 메뉴로 변경. 3F 승강기 여부 미확인.</v>
      </c>
      <c r="I8" s="15" t="str">
        <v>기존 가이드 유지
영업: 가마쿠라 관광협회
예약: 타베로그</v>
      </c>
      <c r="J8" s="35" t="str">
        <v>지도 검색</v>
      </c>
      <c r="K8" s="35" t="str">
        <v>출처 보기</v>
      </c>
      <c r="L8" s="35" t="str">
        <v>대조 보기</v>
      </c>
    </row>
    <row r="9" ht="142" customHeight="1">
      <c r="A9" s="5" t="n">
        <v>3</v>
      </c>
      <c r="B9" s="28" t="str">
        <v>일정
10/2 저녁</v>
      </c>
      <c r="C9" s="29" t="str">
        <v>로바타 쇼
ろばた 翔 / ROBATA SHO
西新宿1-4-11 宝ビルB1F
TEL 03-6302-0827</v>
      </c>
      <c r="D9" s="5" t="str">
        <v>생선구이·제철 채소구이
가마쿠라에서 돌아와 앉아서 저녁을 먹고, 요코초 산책은 식사 뒤 선택합니다.</v>
      </c>
      <c r="E9" s="30" t="n">
        <v>5000</v>
      </c>
      <c r="F9" s="30" t="n">
        <v>7000</v>
      </c>
      <c r="G9" s="5" t="str">
        <v>금요일 17:00~24:00
18:00 예약 권장. 영업·좌석은 공식 확인, 빈자리 미확인.</v>
      </c>
      <c r="H9" s="5" t="str">
        <v>지하 1층, 계단 진입. 3명이 편하게 앉을 의자 좌석을 사전 요청. 부모님이 계단을 피해야 하면 이곳은 제외.</v>
      </c>
      <c r="I9" s="5" t="str">
        <v>원본 #116 / 123행
계단·좌석·영업: 공식</v>
      </c>
      <c r="J9" s="31" t="str">
        <v>원본 지도</v>
      </c>
      <c r="K9" s="31" t="str">
        <v>출처 보기</v>
      </c>
      <c r="L9" s="31" t="str">
        <v>대조 보기</v>
      </c>
    </row>
    <row r="10" ht="142" customHeight="1">
      <c r="A10" s="15" t="n">
        <v>4</v>
      </c>
      <c r="B10" s="32" t="str">
        <v>일정
10/3 점심</v>
      </c>
      <c r="C10" s="33" t="str">
        <v>마이센 아오야마 본점
とんかつ まい泉 青山本店
神宮前4-8-5
TEL 050-3188-5802</v>
      </c>
      <c r="D10" s="15" t="str">
        <v>히레카츠 또는 로스카츠 정식
메이지신궁 다음 오모테산도 방향에 있어 음식 때문에 멀리 돌아가지 않아도 됨.</v>
      </c>
      <c r="E10" s="34" t="n">
        <v>2500</v>
      </c>
      <c r="F10" s="34" t="n">
        <v>3500</v>
      </c>
      <c r="G10" s="15" t="str">
        <v>11:00~22:00 / 주문마감 21:00
토·일 일반 식사 예약 불가(연회 코스 제외). 10:45 도착, 11:00 식사 목표.</v>
      </c>
      <c r="H10" s="15" t="str">
        <v>기름진 음식 부담이 있으면 작은 정식으로. 점심 대기 30분 이상이면 주변 식사로 바꾸고 오후 일정을 지킴.</v>
      </c>
      <c r="I10" s="15" t="str">
        <v>기존 가이드 유지
영업·주말 예약 규정: 공식</v>
      </c>
      <c r="J10" s="35" t="str">
        <v>지도 검색</v>
      </c>
      <c r="K10" s="35" t="str">
        <v>출처 보기</v>
      </c>
      <c r="L10" s="35"/>
    </row>
    <row r="11" ht="142" customHeight="1">
      <c r="A11" s="5" t="n">
        <v>5</v>
      </c>
      <c r="B11" s="28" t="str">
        <v>일정
10/3 저녁</v>
      </c>
      <c r="C11" s="29" t="str">
        <v>야키니쿠 폰가 에비스
焼肉ぽんが 恵比寿店
恵比寿西1-21-5 Sreed EBISU+t 2F
TEL 050-5447-8698</v>
      </c>
      <c r="D11" s="5" t="str">
        <v>네기탄·와규 구이
고기 좋아하는 가족의 특별한 저녁으로 배치. 1만 엔 코스 선택 시 서비스료를 별도로 계산.</v>
      </c>
      <c r="E11" s="30" t="n">
        <v>12000</v>
      </c>
      <c r="F11" s="30" t="n">
        <v>14000</v>
      </c>
      <c r="G11" s="5" t="str">
        <v>17:00~익일 03:00
17:30 예약 권장 / 미예약
예약 15분 지각 시 자동 취소 안내.</v>
      </c>
      <c r="H11" s="5" t="str">
        <v>공식 코스 10,000엔(세금 포함)+서비스 10%=11,000엔, 음료 별도. 생·덜 익힌 소고기/내장 메뉴 교체 가능 여부와 2F 엘리베이터를 예약 전 확인.</v>
      </c>
      <c r="I11" s="5" t="str">
        <v>원본 #243 / 250행
코스·서비스료: 공식
예산에는 소량 음료 여유 포함</v>
      </c>
      <c r="J11" s="31" t="str">
        <v>원본 지도</v>
      </c>
      <c r="K11" s="31" t="str">
        <v>출처 보기</v>
      </c>
      <c r="L11" s="31" t="str">
        <v>대조 보기</v>
      </c>
    </row>
    <row r="12" ht="142" customHeight="1">
      <c r="A12" s="15" t="n">
        <v>6</v>
      </c>
      <c r="B12" s="32" t="str">
        <v>일정
10/4 점심</v>
      </c>
      <c r="C12" s="33" t="str">
        <v>나미키 야부소바
並木藪蕎麦
雷門2-11-9
TEL 03-3841-1340</v>
      </c>
      <c r="D12" s="15" t="str">
        <v>자루소바 또는 덴푸라 소바
저녁 장어를 고려해 가벼운 점심으로 선택. 타베로그 소바 EAST 백명점 2025 선정 확인.</v>
      </c>
      <c r="E12" s="34" t="n">
        <v>1500</v>
      </c>
      <c r="F12" s="34" t="n">
        <v>2500</v>
      </c>
      <c r="G12" s="15" t="str">
        <v>11:00~19:30 / 주문마감 19:00
수·목 휴무 / 예약 불가
일요일 11:00 개점 방문 목표.</v>
      </c>
      <c r="H12" s="15" t="str">
        <v>메밀 알레르기가 있으면 제외. 소바만으로 부족하면 튀김을 곁들이되 점심을 과하게 늘리지 않음.</v>
      </c>
      <c r="I12" s="15" t="str">
        <v>원본 #168 / 175행
영업·선정 이력: 타베로그
공식 웹사이트 미확인</v>
      </c>
      <c r="J12" s="35" t="str">
        <v>원본 지도</v>
      </c>
      <c r="K12" s="35" t="str">
        <v>출처 보기</v>
      </c>
      <c r="L12" s="35"/>
    </row>
    <row r="13" ht="142" customHeight="1">
      <c r="A13" s="5" t="n">
        <v>7</v>
      </c>
      <c r="B13" s="28" t="str">
        <v>일정
10/4 저녁</v>
      </c>
      <c r="C13" s="29" t="str">
        <v>우나후지 도쿄 오페라시티점
炭焼 うな富士 東京オペラシティ店
西新宿3-20-2 東京オペラシティ53F
TEL 03-6457-5266</v>
      </c>
      <c r="D13" s="5" t="str">
        <v>상 히츠마부시
장어구이를 그대로, 약미와 함께, 육수에 말아 먹는 메뉴. 기존 희망 장소를 유지.</v>
      </c>
      <c r="E13" s="30" t="n">
        <v>6500</v>
      </c>
      <c r="F13" s="30" t="n">
        <v>8500</v>
      </c>
      <c r="G13" s="5" t="str">
        <v>저녁 17:00~22:00 / 주문마감 21:00
17:00 일반석 예약 권장 / 미예약
부정기 휴무.</v>
      </c>
      <c r="H13" s="5" t="str">
        <v>개인실은 저녁 별도 3,000엔/120분 안내. 기본 예산은 일반석 기준. 창가·야경·좌석을 보장하지 않음. 하쓰다이역에서 53F 전용 승강기 이용.</v>
      </c>
      <c r="I13" s="5" t="str">
        <v>기존 가이드 유지
운영·개인실: 공식
상 히츠마부시 5,950엔: EAT도쿄</v>
      </c>
      <c r="J13" s="31" t="str">
        <v>지도 검색</v>
      </c>
      <c r="K13" s="31" t="str">
        <v>출처 보기</v>
      </c>
      <c r="L13" s="31" t="str">
        <v>대조 보기</v>
      </c>
    </row>
    <row r="14" ht="142" customHeight="1">
      <c r="A14" s="15" t="n">
        <v>8</v>
      </c>
      <c r="B14" s="36" t="str">
        <v>예비 간식
10/3 생략 가능</v>
      </c>
      <c r="C14" s="33" t="str">
        <v>나나야 아오야마
ななや 青山店
渋谷2-7-12</v>
      </c>
      <c r="D14" s="15" t="str">
        <v>말차 젤라토
중간 농도와 진한 농도를 비교. 가장 진한 맛이 반드시 모두에게 맞는 것은 아님.</v>
      </c>
      <c r="E14" s="34" t="n">
        <v>600</v>
      </c>
      <c r="F14" s="34" t="n">
        <v>1000</v>
      </c>
      <c r="G14" s="15" t="str">
        <v>11:00~19:00 / 화요일 휴무
정원 카페를 택한 기본안에는 넣지 않음. 네즈 방문을 빼는 경우에만 점심 뒤 선택.</v>
      </c>
      <c r="H14" s="15" t="str">
        <v>우유 성분·알레르기 확인. 카페 휴식 대신으로 계산하지 않음. 배가 부르면 생략.</v>
      </c>
      <c r="I14" s="15" t="str">
        <v>원본 #94 / 101행
운영: 공식 계정·시즈오카현 자료</v>
      </c>
      <c r="J14" s="35" t="str">
        <v>원본 지도</v>
      </c>
      <c r="K14" s="35" t="str">
        <v>출처 보기</v>
      </c>
      <c r="L14" s="35" t="str">
        <v>대조 보기</v>
      </c>
    </row>
    <row r="15" ht="142" customHeight="1">
      <c r="A15" s="5" t="n">
        <v>9</v>
      </c>
      <c r="B15" s="37" t="str">
        <v>선택 간식
10/4</v>
      </c>
      <c r="C15" s="29" t="str">
        <v>가메주
亀十
雷門2-18-11
TEL 03-3841-2210</v>
      </c>
      <c r="D15" s="5" t="str">
        <v>도라야키 포장
아사쿠사 점심 뒤 가족끼리 나눠 먹거나 숙소 간식으로.</v>
      </c>
      <c r="E15" s="30" t="n">
        <v>500</v>
      </c>
      <c r="F15" s="30" t="n">
        <v>1000</v>
      </c>
      <c r="G15" s="5" t="str">
        <v>10:00 개점 안내
점심 전후에만 방문 제안. 폐점·임시휴무는 당일 재확인.</v>
      </c>
      <c r="H15" s="5" t="str">
        <v>대기 15~20분이 넘으면 건너뜀. 포장 간식이며 앉아서 쉬는 장소로 배치하지 않음.</v>
      </c>
      <c r="I15" s="5" t="str">
        <v>원본 #179 / 186행
개점·상품: 아사쿠사 상점가
가격은 계획용 추정</v>
      </c>
      <c r="J15" s="31" t="str">
        <v>원본 지도</v>
      </c>
      <c r="K15" s="31" t="str">
        <v>출처 보기</v>
      </c>
      <c r="L15" s="31"/>
    </row>
    <row r="16" ht="142" customHeight="1">
      <c r="A16" s="15" t="n">
        <v>10</v>
      </c>
      <c r="B16" s="36" t="str">
        <v>대안 카페
10/4</v>
      </c>
      <c r="C16" s="33" t="str">
        <v>시세이도 팔러 긴자 살롱 드 카페
資生堂パーラー 銀座本店サロン・ド・カフェ 3F
銀座8-8-3 東京銀座資生堂ビル3F</v>
      </c>
      <c r="D16" s="15" t="str">
        <v>정규 딸기/초콜릿 파르페 또는 커피
정규 파르페 2,400엔, 커피 1,300엔 안내. 10월 한정 메뉴는 미확인.</v>
      </c>
      <c r="E16" s="34" t="n">
        <v>1300</v>
      </c>
      <c r="F16" s="34" t="n">
        <v>3700</v>
      </c>
      <c r="G16" s="15" t="str">
        <v>일요일 11:00~20:00 / 주문마감 19:30
예약 불가. 하마리큐를 생략하거나 우천일 때 14시 전후 대안.</v>
      </c>
      <c r="H16" s="15" t="str">
        <v>원본 #22의 4·5F 레스토랑과 다른 3F 카페. 대기가 20분을 넘으면 근처 빈자리 있는 카페로. 9월 포도 파르페를 10월 확정 메뉴로 넣지 않음.</v>
      </c>
      <c r="I16" s="15" t="str">
        <v>원본 #22 / 29행에서 파생
다른 층 매장 별도 확인
가격·예약: 공식</v>
      </c>
      <c r="J16" s="35" t="str">
        <v>지도 검색</v>
      </c>
      <c r="K16" s="35" t="str">
        <v>출처 보기</v>
      </c>
      <c r="L16" s="35"/>
    </row>
    <row r="17" ht="142" customHeight="1">
      <c r="A17" s="5" t="n">
        <v>11</v>
      </c>
      <c r="B17" s="37" t="str">
        <v>대안
10/1 저녁</v>
      </c>
      <c r="C17" s="29" t="str">
        <v>교자노 후쿠호 신주쿠점
餃子の福包 新宿店
新宿2-8-6 KDX新宿286ビル1F
TEL 03-5367-1582</v>
      </c>
      <c r="D17" s="5" t="str">
        <v>군만두·물만두·밥
라멘 대기가 길거나 부모님이 만두를 선호할 때. 마늘 없는 교자 선택 가능.</v>
      </c>
      <c r="E17" s="30" t="n">
        <v>1500</v>
      </c>
      <c r="F17" s="30" t="n">
        <v>2500</v>
      </c>
      <c r="G17" s="5" t="str">
        <v>평일 11:30~15:30 / 17:00~23:00
예약 불가. 저녁 주문마감 22:20 안내.</v>
      </c>
      <c r="H17" s="5" t="str">
        <v>같은 신주쿠의 GYO PAO(餃包)와 다른 가게. 관광 사이트 일부에 심야 영업 옛 정보가 있어 늦은 밤에는 전화 확인.</v>
      </c>
      <c r="I17" s="5" t="str">
        <v>원본 #157 / 164행
메뉴: 공식
영업: 타베로그·산토리 교차확인</v>
      </c>
      <c r="J17" s="31" t="str">
        <v>원본 지도</v>
      </c>
      <c r="K17" s="31" t="str">
        <v>출처 보기</v>
      </c>
      <c r="L17" s="31" t="str">
        <v>대조 보기</v>
      </c>
    </row>
    <row r="18" ht="142" customHeight="1">
      <c r="A18" s="15" t="n">
        <v>12</v>
      </c>
      <c r="B18" s="36" t="str">
        <v>대안
10/3 저녁</v>
      </c>
      <c r="C18" s="33" t="str">
        <v>스시노 미도리 시부야점
梅丘寿司の美登利 渋谷店
道玄坂1-12-3 マークシティイースト4F
TEL 03-5458-0002</v>
      </c>
      <c r="D18" s="15" t="str">
        <v>니기리 모둠·계절 스시
폰가 예산이 부담스럽거나 고기보다 스시를 원할 때 대체. 폰가와 둘 다 가지 않음.</v>
      </c>
      <c r="E18" s="34" t="n">
        <v>3000</v>
      </c>
      <c r="F18" s="34" t="n">
        <v>5000</v>
      </c>
      <c r="G18" s="15" t="str">
        <v>토·일 11:00~21:00 / 주문마감 20:30
공식 페이지 예약·대기 안내 확인 후 선택. 빈자리 미확인.</v>
      </c>
      <c r="H18" s="15" t="str">
        <v>폰가 대신 선택하면 에비스 쇼핑을 빼고 카나데 이후 시부야로 이동. 두 저녁을 함께 예약하지 않음. 토요일에 평일 전용 원격 대기를 사용할 수 있다고 가정하지 않음.</v>
      </c>
      <c r="I18" s="15" t="str">
        <v>기존 후보 유지
지점·영업·대기 방식: 공식
예산은 추정</v>
      </c>
      <c r="J18" s="35" t="str">
        <v>지도 검색</v>
      </c>
      <c r="K18" s="35" t="str">
        <v>출처 보기</v>
      </c>
      <c r="L18" s="35"/>
    </row>
    <row r="19" ht="142" customHeight="1">
      <c r="A19" s="5" t="n">
        <v>13</v>
      </c>
      <c r="B19" s="37" t="str">
        <v>대안
10/4 점심 교체</v>
      </c>
      <c r="C19" s="29" t="str">
        <v>이마한 별관
今半別館
浅草2-2-5
TEL 03-3841-2690</v>
      </c>
      <c r="D19" s="5" t="str">
        <v>스키야키
가벼운 소바보다 스키야키가 더 중요한 경우에만 선택. 같은 날 저녁 장어와 양·비용을 함께 조정.</v>
      </c>
      <c r="E19" s="30" t="n">
        <v>12100</v>
      </c>
      <c r="F19" s="30" t="n">
        <v>15000</v>
      </c>
      <c r="G19" s="5" t="str">
        <v>좌석 홀은 예약 불가. 방 예약은 지정 코스 조건. 임박 예약은 전화 문의. 영업시간·가용 좌석 재확인.</v>
      </c>
      <c r="H19" s="5" t="str">
        <v>원래 가이드의 浅草今半 国際通り本店과 다른 매장. 12,100엔은 별관 코토토이 코스 세금·서비스 포함 가격이며 최저 단품 가격이 아님.</v>
      </c>
      <c r="I19" s="5" t="str">
        <v>원본 #170 / 177행
별관 공식 요금·예약 규정
동명 다른 업체와 구분</v>
      </c>
      <c r="J19" s="31" t="str">
        <v>원본 지도</v>
      </c>
      <c r="K19" s="31" t="str">
        <v>출처 보기</v>
      </c>
      <c r="L19" s="31" t="str">
        <v>대조 보기</v>
      </c>
    </row>
    <row r="20" ht="142" customHeight="1">
      <c r="A20" s="15" t="n">
        <v>14</v>
      </c>
      <c r="B20" s="36" t="str">
        <v>대안 간식
10/4</v>
      </c>
      <c r="C20" s="33" t="str">
        <v>프레데릭 카셀 긴자 미쓰코시
フレデリック・カッセル 銀座三越店
銀座4-6-16 銀座三越B2F</v>
      </c>
      <c r="D20" s="15" t="str">
        <v>밀푀유 포장
시세이도 파르페 대신 제과류를 원할 때 선택. 디저트 두 곳을 필수로 채우지 않음.</v>
      </c>
      <c r="E20" s="34" t="n">
        <v>1000</v>
      </c>
      <c r="F20" s="34" t="n">
        <v>1800</v>
      </c>
      <c r="G20" s="15" t="str">
        <v>백화점 당일 영업·상품 재고 확인
오후 방문 후보, 특정 판매 시각 확정하지 않음.</v>
      </c>
      <c r="H20" s="15" t="str">
        <v>포장 매장. 휴식용 카페가 아님. 생과자 보관·운반 조건을 확인하고 바로 먹거나 숙소 복귀 전에 구입.</v>
      </c>
      <c r="I20" s="15" t="str">
        <v>원본 #32 / 39행
공식 브랜드·미쓰코시
보조 링크는 2024년 공지: 재고/판매시각 근거로 사용하지 않음</v>
      </c>
      <c r="J20" s="35" t="str">
        <v>원본 지도</v>
      </c>
      <c r="K20" s="35" t="str">
        <v>출처 보기</v>
      </c>
      <c r="L20" s="35" t="str">
        <v>대조 보기</v>
      </c>
    </row>
    <row r="21" ht="142" customHeight="1">
      <c r="A21" s="40" t="n">
        <v>15</v>
      </c>
      <c r="B21" s="41" t="str">
        <v>보류
영업 확인 후</v>
      </c>
      <c r="C21" s="42" t="str">
        <v>키리무기야 진로쿠 신주쿠교엔점
切麦や 甚六 新宿御苑店
新宿1-17-1 LAND・DENビル
TEL 03-6273-2646</v>
      </c>
      <c r="D21" s="40" t="str">
        <v>우동·덴푸라
숙소 인근 후보지만 목요일 저녁 운영정보가 상충해 도착일 일정에는 넣지 않음.</v>
      </c>
      <c r="E21" s="43" t="n">
        <v>1500</v>
      </c>
      <c r="F21" s="43" t="n">
        <v>2500</v>
      </c>
      <c r="G21" s="40" t="str">
        <v>공식 매장 페이지: 저녁 17:30~23:30
타베로그: 화·목·금 저녁 미운영
전화 확인 전 어느 쪽도 확정하지 않음.</v>
      </c>
      <c r="H21" s="40" t="str">
        <v>이름이 같은 다른 지점으로 바꾸지 않음. 10/1 저녁 이용 가능 여부를 확인한 경우에만 하야시다와 교체.</v>
      </c>
      <c r="I21" s="40" t="str">
        <v>원본 #153 / 160행
공식·타베로그 불일치 발견
당일 영업 미확인</v>
      </c>
      <c r="J21" s="44" t="str">
        <v>원본 지도</v>
      </c>
      <c r="K21" s="44" t="str">
        <v>출처 보기</v>
      </c>
      <c r="L21" s="44" t="str">
        <v>대조 보기</v>
      </c>
    </row>
    <row r="22" ht="170" customHeight="1">
      <c r="A22" s="15" t="n">
        <v>16</v>
      </c>
      <c r="B22" s="32" t="str">
        <v>교체 카페
카나데 대신</v>
      </c>
      <c r="C22" s="33" t="str">
        <v>네즈카페
NEZUCAFÉ / ネヅカフェ
港区南青山6-5-1 根津美術館内
TEL 03-3400-2536</v>
      </c>
      <c r="D22" s="15" t="str">
        <v>정원을 둘러싼 유리창과 녹음
미술관·정원과 함께 머물 때 추천. 커피 800엔, 케이크 800엔. 오후 카나데를 생각해 여기서는 음료만 마셔도 좋음.</v>
      </c>
      <c r="E22" s="34" t="n">
        <v>800</v>
      </c>
      <c r="F22" s="34" t="n">
        <v>1700</v>
      </c>
      <c r="G22" s="15" t="str">
        <v>10:00~16:30 / 음식 주문 15:00, 음료 16:00 마감
카페 예약 불가. 미술관 입장객만 이용. 10/5(월) 휴관.</v>
      </c>
      <c r="H22" s="15" t="str">
        <v>카나데 대신 선택. 미술관 성인 온라인 1,400엔 별도, 카페 예약 불가. 기본 합계에서 제외. 10/5 월요일 휴무. 미술관 표는 카페 좌석을 보장하지 않음.</v>
      </c>
      <c r="I22" s="15" t="str">
        <v>추가 카페 / 공식 카페·티켓
10/3은 8/15~10/12 전시 기간
E·F는 카페 비용만, 입장료 별도</v>
      </c>
      <c r="J22" s="35" t="str">
        <v>지도 검색</v>
      </c>
      <c r="K22" s="35" t="str">
        <v>출처 보기</v>
      </c>
      <c r="L22" s="35" t="str">
        <v>대조 보기</v>
      </c>
    </row>
    <row r="23" ht="170" customHeight="1">
      <c r="A23" s="5" t="n">
        <v>17</v>
      </c>
      <c r="B23" s="28" t="str">
        <v>주 카페
서부 일정일</v>
      </c>
      <c r="C23" s="29" t="str">
        <v>카나데 라운지
KANADE LOUNGE / カナデ ラウンジ
目黒区下目黒1-8-1 ホテル雅叙園東京1F
TEL 03-6417-0101</v>
      </c>
      <c r="D23" s="5" t="str">
        <v>높은 유리 천장·정원·폭포 전망
가족끼리 오래 앉아 쉬는 특별한 공간으로 최우선. 커피 1,600엔, 케이크 2,000엔. 차와 케이크는 약 4,100~4,200엔.</v>
      </c>
      <c r="E23" s="30" t="n">
        <v>1600</v>
      </c>
      <c r="F23" s="30" t="n">
        <v>4200</v>
      </c>
      <c r="G23" s="5" t="str">
        <v>10:30~22:30 / 주문마감 21:30
케이크 14:00~17:00
14:00 좌석만 예약 희망 / 빈자리 미확인</v>
      </c>
      <c r="H23" s="5" t="str">
        <v>기본 10/3 14:00~15:30, 가마쿠라를 10/3으로 바꾸면 10/2 방문. 날짜 변경 시 실제 예약도 별도 변경해야 함. 2시간 이용·10분 무연락 지각 시 취소 안내. 금액은 세금·서비스 15% 포함.</v>
      </c>
      <c r="I23" s="5" t="str">
        <v>공식 메뉴 PDF·예약 페이지 확인
좌석 가용 여부 미확인
계절 파르페의 10월 판매 미확인</v>
      </c>
      <c r="J23" s="31" t="str">
        <v>지도 검색</v>
      </c>
      <c r="K23" s="31" t="str">
        <v>출처 보기</v>
      </c>
      <c r="L23" s="31" t="str">
        <v>대조 보기</v>
      </c>
    </row>
    <row r="24" ht="170" customHeight="1">
      <c r="A24" s="15" t="n">
        <v>18</v>
      </c>
      <c r="B24" s="32" t="str">
        <v>선택 카페
10/4 맑을 때</v>
      </c>
      <c r="C24" s="33" t="str">
        <v>나카지마노 오차야
中島の御茶屋 / Nakajima-no-Ochaya
中央区浜離宮庭園1-1 浜離宮恩賜庭園内
TEL 03-3541-0200</v>
      </c>
      <c r="D24" s="15" t="str">
        <v>연못 한가운데서 말차·화과자
커피숍보다 일본 정원 다실에 가까움. 하마리큐 산책과 차 한 잔을 한 코스로 묶을 때 추천.</v>
      </c>
      <c r="E24" s="34" t="n">
        <v>900</v>
      </c>
      <c r="F24" s="34" t="n">
        <v>1500</v>
      </c>
      <c r="G24" s="15" t="str">
        <v>다실 9:00~16:45 / 주문마감 16:30
정원 9:00~17:00 / 입장마감 16:30
일반 방문 기준. 특정 다회 행사 예약 아님.</v>
      </c>
      <c r="H24" s="15" t="str">
        <v>정원 입장료 성인 300엔 별도(65세 이상 150엔, 증빙 필요). E·F는 현재 확정 메뉴값이 아닌 차·과자 예산 추정. 비·보행 부담 시 대체. 좌석 형태·단차는 방문 전 확인.</v>
      </c>
      <c r="I24" s="15" t="str">
        <v>추가 카페 / 도쿄도공원협회 공식
차·화과자 최신 가격 미확인
2026 대다회 10/31~11/1: 여행 기간 아님</v>
      </c>
      <c r="J24" s="35" t="str">
        <v>지도 검색</v>
      </c>
      <c r="K24" s="35" t="str">
        <v>출처 보기</v>
      </c>
      <c r="L24" s="35" t="str">
        <v>대조 보기</v>
      </c>
    </row>
    <row r="25" ht="170" customHeight="1">
      <c r="A25" s="5" t="n">
        <v>19</v>
      </c>
      <c r="B25" s="37" t="str">
        <v>교체 카페
10/3 대안</v>
      </c>
      <c r="C25" s="29" t="str">
        <v>사샤 카네타나카
茶洒 金田中 / Sahsya Kanetanaka
港区北青山3-6-1 オーク表参道2F
TEL 03-6450-5116</v>
      </c>
      <c r="D25" s="5" t="str">
        <v>이끼 정원·절제된 건축·일본식 디저트
와라비모치 1,650엔 안내. 차와 함께 2,000~3,500엔 계획. 호텔 라운지보다 미니멀한 공간을 원할 때.</v>
      </c>
      <c r="E25" s="30" t="n">
        <v>2000</v>
      </c>
      <c r="F25" s="30" t="n">
        <v>3500</v>
      </c>
      <c r="G25" s="5" t="str">
        <v>11:30~22:00 / 카페 14:00~주문마감 21:00
일반 카페 예약 불가. 예약 가능한 식사 코스와 혼동하지 않음.</v>
      </c>
      <c r="H25" s="5" t="str">
        <v>13세 미만 입장 불가 안내. 일반 카페는 예약 불가. 네즈·카나데 대신 14:00 방문 후 에비스로 이동. 세 카페를 모두 넣지 않음. 서비스료 없음.</v>
      </c>
      <c r="I25" s="5" t="str">
        <v>추가 카페 / 매장 관리 공식 타베로그·구루나비
카페 EAST 백명점 2025
음료 포함 총액은 예산 추정</v>
      </c>
      <c r="J25" s="31" t="str">
        <v>지도 검색</v>
      </c>
      <c r="K25" s="31" t="str">
        <v>출처 보기</v>
      </c>
      <c r="L25" s="31" t="str">
        <v>대조 보기</v>
      </c>
    </row>
    <row r="26" ht="170" customHeight="1">
      <c r="A26" s="15" t="n">
        <v>20</v>
      </c>
      <c r="B26" s="36" t="str">
        <v>반일 교체
동선 별도</v>
      </c>
      <c r="C26" s="33" t="str">
        <v>오리엔토 카페
オリエント・カフェ / Orient Café
文京区本駒込2-28-21 東洋文庫内
TEL 03-3942-0400</v>
      </c>
      <c r="D26" s="15" t="str">
        <v>시볼트 정원·목재 테이블·고이와이 디저트
동양문고와 함께 보내는 한적한 반일 코스 후보. 치즈케이크·차 중심으로 계획.</v>
      </c>
      <c r="E26" s="34" t="n">
        <v>1500</v>
      </c>
      <c r="F26" s="34" t="n">
        <v>2500</v>
      </c>
      <c r="G26" s="15" t="str">
        <v>디저트 11:30~17:00
화요일·동양문고 휴관일 휴무
예약 페이지 있음. 카페 이용 예약 조건은 별도 문의.</v>
      </c>
      <c r="H26" s="15" t="str">
        <v>현재 일정에서 일부러 왕복하기엔 멂. 아사쿠사·하마리큐 반일을 대체하거나 다음 여행 후보. 모리슨 서고는 카페 내부가 아닌 별도 박물관. 카페만 이용 시 입장 조건 확인 필요.</v>
      </c>
      <c r="I26" s="15" t="str">
        <v>추가 카페 / 운영사·공식 예약
공식 공지의 10월 대관일은 7·17·18·24일
예산 추정, 당일 임시휴무 재확인</v>
      </c>
      <c r="J26" s="35" t="str">
        <v>지도 검색</v>
      </c>
      <c r="K26" s="35" t="str">
        <v>출처 보기</v>
      </c>
      <c r="L26" s="35" t="str">
        <v>대조 보기</v>
      </c>
    </row>
    <row r="27" ht="170" customHeight="1">
      <c r="A27" s="5" t="n">
        <v>21</v>
      </c>
      <c r="B27" s="37" t="str">
        <v>우천 대안
10/4</v>
      </c>
      <c r="C27" s="29" t="str">
        <v>카페 다이닝 사후
カフェダイニング 茶楓 / SAFU by Onko Chishin
港区虎ノ門4-1-35 菊池寛実記念 智美術館内
TEL 03-6453-0097</v>
      </c>
      <c r="D27" s="5" t="str">
        <v>정원을 바라보는 차분한 다이닝
호지차 시폰·키나코 크림 등 디저트와 차. 하마리큐를 걷기 어려운 비 오는 날 후보.</v>
      </c>
      <c r="E27" s="30" t="n">
        <v>2000</v>
      </c>
      <c r="F27" s="30" t="n">
        <v>3500</v>
      </c>
      <c r="G27" s="5" t="str">
        <v>11:00~18:00 / 월요일 휴무
디저트 카페 메뉴는 15:00~18:00(주문마감 17:30)
예약은 런치만, 카페 예약 불가.</v>
      </c>
      <c r="H27" s="5" t="str">
        <v>10/5(월)에는 넣지 않음. 일요일 대체안은 긴자 짧게 → 15:00~15:45 사후 → 17:00 우나후지. 대기 있으면 가까운 카페로 변경. 단차·카페만 이용 시 입장 조건 확인 필요.</v>
      </c>
      <c r="I27" s="5" t="str">
        <v>추가 카페 / 공식 사이트·카페 메뉴
금액은 계획용 추정
11시 개점과 15시 디저트 시작 구분</v>
      </c>
      <c r="J27" s="31" t="str">
        <v>지도 검색</v>
      </c>
      <c r="K27" s="31" t="str">
        <v>출처 보기</v>
      </c>
      <c r="L27" s="31" t="str">
        <v>대조 보기</v>
      </c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ht="36" customHeight="1">
      <c r="A29" s="6" t="str">
        <v>추천 우선순위는 별점순이 아닙니다. 로바타의 계단, 폰가의 높은 비용, 카페의 입장권·무예약 조건도 함께 반영했습니다. 같은 이름의 다른 지점·다른 층으로 혼동하지 마세요.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ht="32" customHeight="1">
      <c r="A31" s="3" t="str">
        <v>카나데 금액·서비스료 확인용 공식 메뉴 PDF / 하마리큐 대다회 2026 공식 일정: 이번 여행 기간과 다름</v>
      </c>
      <c r="B31" s="3"/>
      <c r="C31" s="3"/>
      <c r="D31" s="3"/>
      <c r="E31" s="3"/>
      <c r="F31" s="3"/>
      <c r="G31" s="3"/>
      <c r="H31" s="3"/>
      <c r="I31" s="3"/>
      <c r="J31" s="3"/>
      <c r="K31" s="22" t="str">
        <v>메뉴 PDF</v>
      </c>
      <c r="L31" s="22" t="str">
        <v>행사 일정</v>
      </c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</sheetData>
  <mergeCells>
    <mergeCell ref="A1:L1"/>
    <mergeCell ref="A2:L2"/>
    <mergeCell ref="A3:L3"/>
    <mergeCell ref="A4:L4"/>
    <mergeCell ref="A29:L29"/>
    <mergeCell ref="A31:J31"/>
  </mergeCells>
  <hyperlinks>
    <hyperlink ref="J7" r:id="rIdTripLink1" display="원본 지도"/>
    <hyperlink ref="K7" r:id="rIdTripLink2" display="출처 보기"/>
    <hyperlink ref="J8" r:id="rIdTripLink3" display="지도 검색"/>
    <hyperlink ref="K8" r:id="rIdTripLink4" display="출처 보기"/>
    <hyperlink ref="L8" r:id="rIdTripLink5" display="대조 보기"/>
    <hyperlink ref="J9" r:id="rIdTripLink6" display="원본 지도"/>
    <hyperlink ref="K9" r:id="rIdTripLink7" display="출처 보기"/>
    <hyperlink ref="L9" r:id="rIdTripLink8" display="대조 보기"/>
    <hyperlink ref="J10" r:id="rIdTripLink9" display="지도 검색"/>
    <hyperlink ref="K10" r:id="rIdTripLink10" display="출처 보기"/>
    <hyperlink ref="J11" r:id="rIdTripLink11" display="원본 지도"/>
    <hyperlink ref="K11" r:id="rIdTripLink12" display="출처 보기"/>
    <hyperlink ref="L11" r:id="rIdTripLink13" display="대조 보기"/>
    <hyperlink ref="J12" r:id="rIdTripLink14" display="원본 지도"/>
    <hyperlink ref="K12" r:id="rIdTripLink15" display="출처 보기"/>
    <hyperlink ref="J13" r:id="rIdTripLink16" display="지도 검색"/>
    <hyperlink ref="K13" r:id="rIdTripLink17" display="출처 보기"/>
    <hyperlink ref="L13" r:id="rIdTripLink18" display="대조 보기"/>
    <hyperlink ref="J14" r:id="rIdTripLink19" display="원본 지도"/>
    <hyperlink ref="K14" r:id="rIdTripLink20" display="출처 보기"/>
    <hyperlink ref="L14" r:id="rIdTripLink21" display="대조 보기"/>
    <hyperlink ref="J15" r:id="rIdTripLink22" display="원본 지도"/>
    <hyperlink ref="K15" r:id="rIdTripLink23" display="출처 보기"/>
    <hyperlink ref="J16" r:id="rIdTripLink24" display="지도 검색"/>
    <hyperlink ref="K16" r:id="rIdTripLink25" display="출처 보기"/>
    <hyperlink ref="J17" r:id="rIdTripLink26" display="원본 지도"/>
    <hyperlink ref="K17" r:id="rIdTripLink27" display="출처 보기"/>
    <hyperlink ref="L17" r:id="rIdTripLink28" display="대조 보기"/>
    <hyperlink ref="J18" r:id="rIdTripLink29" display="지도 검색"/>
    <hyperlink ref="K18" r:id="rIdTripLink30" display="출처 보기"/>
    <hyperlink ref="J19" r:id="rIdTripLink31" display="원본 지도"/>
    <hyperlink ref="K19" r:id="rIdTripLink32" display="출처 보기"/>
    <hyperlink ref="L19" r:id="rIdTripLink33" display="대조 보기"/>
    <hyperlink ref="J20" r:id="rIdTripLink34" display="원본 지도"/>
    <hyperlink ref="K20" r:id="rIdTripLink35" display="출처 보기"/>
    <hyperlink ref="L20" r:id="rIdTripLink36" display="대조 보기"/>
    <hyperlink ref="J21" r:id="rIdTripLink37" display="원본 지도"/>
    <hyperlink ref="K21" r:id="rIdTripLink38" display="출처 보기"/>
    <hyperlink ref="L21" r:id="rIdTripLink39" display="대조 보기"/>
    <hyperlink ref="J22" r:id="rIdTripLink40" display="지도 검색"/>
    <hyperlink ref="K22" r:id="rIdTripLink41" display="출처 보기"/>
    <hyperlink ref="L22" r:id="rIdTripLink42" display="대조 보기"/>
    <hyperlink ref="J23" r:id="rIdTripLink43" display="지도 검색"/>
    <hyperlink ref="K23" r:id="rIdTripLink44" display="출처 보기"/>
    <hyperlink ref="L23" r:id="rIdTripLink45" display="대조 보기"/>
    <hyperlink ref="J24" r:id="rIdTripLink46" display="지도 검색"/>
    <hyperlink ref="K24" r:id="rIdTripLink47" display="출처 보기"/>
    <hyperlink ref="L24" r:id="rIdTripLink48" display="대조 보기"/>
    <hyperlink ref="J25" r:id="rIdTripLink49" display="지도 검색"/>
    <hyperlink ref="K25" r:id="rIdTripLink50" display="출처 보기"/>
    <hyperlink ref="L25" r:id="rIdTripLink51" display="대조 보기"/>
    <hyperlink ref="J26" r:id="rIdTripLink52" display="지도 검색"/>
    <hyperlink ref="K26" r:id="rIdTripLink53" display="출처 보기"/>
    <hyperlink ref="L26" r:id="rIdTripLink54" display="대조 보기"/>
    <hyperlink ref="J27" r:id="rIdTripLink55" display="지도 검색"/>
    <hyperlink ref="K27" r:id="rIdTripLink56" display="출처 보기"/>
    <hyperlink ref="L27" r:id="rIdTripLink57" display="대조 보기"/>
    <hyperlink ref="K31" r:id="rIdTripLink58" display="메뉴 PDF"/>
    <hyperlink ref="L31" r:id="rIdTripLink59" display="행사 일정"/>
  </hyperlinks>
  <pageMargins left="0.7" right="0.7" top="0.75" bottom="0.75" header="0.3" footer="0.3"/>
  <tableParts count="1">
    <tablePart r:id="Rc822092c15db4d58"/>
  </tableParts>
</worksheet>
</file>