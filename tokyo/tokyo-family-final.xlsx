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여행 일정" sheetId="1" state="visible" r:id="rId1"/>
    <sheet name="맛집 상세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m/d"/>
    <numFmt numFmtId="165" formatCode="#,##0&quot;엔&quot;"/>
  </numFmts>
  <fonts count="13">
    <font>
      <name val="Carlito"/>
      <sz val="11"/>
    </font>
    <font>
      <name val="Malgun Gothic"/>
      <color rgb="FF243533"/>
      <sz val="11"/>
    </font>
    <font>
      <name val="Malgun Gothic"/>
      <b val="1"/>
      <color rgb="FF243533"/>
      <sz val="18"/>
    </font>
    <font>
      <name val="Malgun Gothic"/>
      <color rgb="FF52645F"/>
      <sz val="10"/>
    </font>
    <font>
      <name val="Malgun Gothic"/>
      <b val="1"/>
      <color rgb="FFFFFFFF"/>
      <sz val="12"/>
    </font>
    <font>
      <name val="Malgun Gothic"/>
      <b val="1"/>
      <color rgb="FF243533"/>
      <sz val="11"/>
    </font>
    <font>
      <name val="Malgun Gothic"/>
      <b val="1"/>
      <color rgb="FF243533"/>
      <sz val="13"/>
    </font>
    <font>
      <name val="Malgun Gothic"/>
      <b val="1"/>
      <color rgb="FF12649B"/>
      <sz val="11"/>
    </font>
    <font>
      <name val="Malgun Gothic"/>
      <color rgb="FF12649B"/>
      <sz val="11"/>
    </font>
    <font>
      <name val="Malgun Gothic"/>
      <b val="1"/>
      <color rgb="FF243533"/>
      <sz val="17"/>
    </font>
    <font>
      <name val="Malgun Gothic"/>
      <b val="1"/>
      <color rgb="FF16695F"/>
      <sz val="11"/>
    </font>
    <font>
      <name val="Malgun Gothic"/>
      <b val="1"/>
      <color rgb="FF795D2A"/>
      <sz val="11"/>
    </font>
    <font>
      <name val="Malgun Gothic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F3F5F6"/>
      </patternFill>
    </fill>
    <fill>
      <patternFill patternType="solid">
        <fgColor rgb="FF16695F"/>
      </patternFill>
    </fill>
    <fill>
      <patternFill patternType="solid">
        <fgColor rgb="FFEAF3EF"/>
      </patternFill>
    </fill>
    <fill>
      <patternFill patternType="solid">
        <fgColor rgb="FFFFFFFF"/>
      </patternFill>
    </fill>
    <fill>
      <patternFill patternType="solid">
        <fgColor rgb="FFFFF1D9"/>
      </patternFill>
    </fill>
  </fills>
  <borders count="1">
    <border/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center" wrapText="1"/>
    </xf>
    <xf numFmtId="164" fontId="6" fillId="2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4" fontId="6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vertical="center" wrapText="1"/>
    </xf>
    <xf numFmtId="165" fontId="1" fillId="4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3" fontId="1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3" fontId="1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12" fillId="3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1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3" fontId="1" fillId="6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164" fontId="6" fillId="2" borderId="0" applyAlignment="1" pivotButton="0" quotePrefix="0" xfId="0">
      <alignment vertical="center" wrapText="1"/>
    </xf>
    <xf numFmtId="164" fontId="6" fillId="5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 wrapText="1"/>
    </xf>
    <xf numFmtId="3" fontId="1" fillId="2" borderId="0" applyAlignment="1" pivotButton="0" quotePrefix="0" xfId="0">
      <alignment vertical="center" wrapText="1"/>
    </xf>
    <xf numFmtId="3" fontId="1" fillId="5" borderId="0" applyAlignment="1" pivotButton="0" quotePrefix="0" xfId="0">
      <alignment vertical="center" wrapText="1"/>
    </xf>
    <xf numFmtId="3" fontId="1" fillId="6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okyoRestaurants" displayName="TokyoRestaurants" ref="A6:L27" headerRowCount="1" totalsRowCount="0" totalsRowShown="0">
  <tableColumns count="12">
    <tableColumn id="1" name="번호"/>
    <tableColumn id="2" name="사용 구분"/>
    <tableColumn id="3" name="상호·지점 / 주소"/>
    <tableColumn id="4" name="대표 메뉴 · 고른 이유"/>
    <tableColumn id="5" name="하한 JPY"/>
    <tableColumn id="6" name="상한 JPY"/>
    <tableColumn id="7" name="영업 · 예약 조건"/>
    <tableColumn id="8" name="가족 방문 · 주의사항"/>
    <tableColumn id="9" name="확인 근거 · 원본"/>
    <tableColumn id="10" name="지도"/>
    <tableColumn id="11" name="대표 출처"/>
    <tableColumn id="12" name="보조 출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vetnam555-del.github.io/busan-trip-2026/tokyo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%EB%9D%BC%EB%A9%98%20%ED%95%98%EC%95%BC%EC%8B%9C%EB%8B%A4%20%EC%8B%A0%EC%A3%BC%EC%BF%A0%20%EB%B3%B8%EC%A0%90%20Pegasus%20Kan%2C%203%20Chome-31-5%20Shinjuku%2C%20Shinjuku%20City%2C%20Tokyo%20160-0022%20%EC%9D%BC%EB%B3%B8" TargetMode="External" Id="rId1" /><Relationship Type="http://schemas.openxmlformats.org/officeDocument/2006/relationships/hyperlink" Target="https://www.ramenings.com/hayashida" TargetMode="External" Id="rId2" /><Relationship Type="http://schemas.openxmlformats.org/officeDocument/2006/relationships/hyperlink" Target="https://www.google.com/maps/search/?api=1&amp;query=%E9%8E%8C%E5%80%89%20%E7%A7%8B%E6%9C%AC%20%E9%8E%8C%E5%80%89%E5%B8%82%E5%B0%8F%E7%94%BA1-6-15%20i-ZA%E9%8E%8C%E5%80%893F" TargetMode="External" Id="rId3" /><Relationship Type="http://schemas.openxmlformats.org/officeDocument/2006/relationships/hyperlink" Target="https://www.trip-kamakura.com/stay-gurume/detail.php?business_type=gourmet&amp;id=31" TargetMode="External" Id="rId4" /><Relationship Type="http://schemas.openxmlformats.org/officeDocument/2006/relationships/hyperlink" Target="https://tabelog.com/kanagawa/A1404/A140402/14003222/" TargetMode="External" Id="rId5" /><Relationship Type="http://schemas.openxmlformats.org/officeDocument/2006/relationships/hyperlink" Target="https://www.google.com/maps/search/?api=1&amp;query=%E6%96%B0%E5%AE%BF%E3%81%A4%E3%81%AA%E5%85%AB%20%E7%B7%8F%E6%9C%AC%E5%BA%97%20%E6%96%B0%E5%AE%BF3-31-8" TargetMode="External" Id="rId6" /><Relationship Type="http://schemas.openxmlformats.org/officeDocument/2006/relationships/hyperlink" Target="https://tabelog.com/tokyo/A1304/A130401/13000859/" TargetMode="External" Id="rId7" /><Relationship Type="http://schemas.openxmlformats.org/officeDocument/2006/relationships/hyperlink" Target="https://www.hotpepper.jp/strJ003942175/" TargetMode="External" Id="rId8" /><Relationship Type="http://schemas.openxmlformats.org/officeDocument/2006/relationships/hyperlink" Target="https://www.google.com/maps/search/?api=1&amp;query=%E3%81%A8%E3%82%93%E3%81%8B%E3%81%A4%20%E3%81%BE%E3%81%84%E6%B3%89%20%E9%9D%92%E5%B1%B1%E6%9C%AC%E5%BA%97%20%E7%A5%9E%E5%AE%AE%E5%89%8D4-8-5" TargetMode="External" Id="rId9" /><Relationship Type="http://schemas.openxmlformats.org/officeDocument/2006/relationships/hyperlink" Target="https://mai-sen.com/restaurant/aoyama/" TargetMode="External" Id="rId10" /><Relationship Type="http://schemas.openxmlformats.org/officeDocument/2006/relationships/hyperlink" Target="https://www.google.com/maps/search/?api=1&amp;query=%EC%95%BC%ED%82%A4%EB%8B%88%EC%BF%A0%ED%8F%B0%EA%B0%80%20%EC%97%90%EB%B9%84%EC%8A%A4%EC%A0%90%20%EC%9D%BC%EB%B3%B8%20%E3%80%92150-0021%20Tokyo%2C%20Shibuya%2C%20Ebisunishi%2C%201%20Chome%E2%88%9221%E2%88%925%20SreedEBISU%2Bt%202F" TargetMode="External" Id="rId11" /><Relationship Type="http://schemas.openxmlformats.org/officeDocument/2006/relationships/hyperlink" Target="https://yakiniku-ponga.com/ebisu/course/" TargetMode="External" Id="rId12" /><Relationship Type="http://schemas.openxmlformats.org/officeDocument/2006/relationships/hyperlink" Target="https://yakiniku-ponga.com/ebisu/" TargetMode="External" Id="rId13" /><Relationship Type="http://schemas.openxmlformats.org/officeDocument/2006/relationships/hyperlink" Target="https://www.google.com/maps/search/?api=1&amp;query=%EB%82%98%EB%AF%B8%ED%82%A4%20%EC%95%BC%EB%B6%80%EC%86%8C%EB%B0%94%202%20Chome-11-9%20Kaminarimon%2C%20Taito%20City%2C%20Tokyo%20111-0034%20%EC%9D%BC%EB%B3%B8" TargetMode="External" Id="rId14" /><Relationship Type="http://schemas.openxmlformats.org/officeDocument/2006/relationships/hyperlink" Target="https://tabelog.com/tokyo/A1311/A131102/13003650/" TargetMode="External" Id="rId15" /><Relationship Type="http://schemas.openxmlformats.org/officeDocument/2006/relationships/hyperlink" Target="https://www.google.com/maps/search/?api=1&amp;query=%E7%82%AD%E7%84%BC%20%E3%81%86%E3%81%AA%E5%AF%8C%E5%A3%AB%20%E6%9D%B1%E4%BA%AC%E3%82%AA%E3%83%9A%E3%83%A9%E3%82%B7%E3%83%86%E3%82%A3%E5%BA%97%20%E8%A5%BF%E6%96%B0%E5%AE%BF3-20-2%20%E6%9D%B1%E4%BA%AC%E3%82%AA%E3%83%9A%E3%83%A9%E3%82%B7%E3%83%86%E3%82%A353F" TargetMode="External" Id="rId16" /><Relationship Type="http://schemas.openxmlformats.org/officeDocument/2006/relationships/hyperlink" Target="https://sumiyaki-unafuji.com/shops/tokyo_opera_city/" TargetMode="External" Id="rId17" /><Relationship Type="http://schemas.openxmlformats.org/officeDocument/2006/relationships/hyperlink" Target="https://menu-tokyo.jp/search/detail.php?lang=jp&amp;lat=35.68300241&amp;lng=139.68675578&amp;shop_id=2600117" TargetMode="External" Id="rId18" /><Relationship Type="http://schemas.openxmlformats.org/officeDocument/2006/relationships/hyperlink" Target="https://www.google.com/maps/search/?api=1&amp;query=%EB%82%98%EB%82%98%EC%95%BC%20%EC%95%84%EC%98%A4%EC%95%BC%EB%A7%88%202%20Chome-7-12%20Shibuya%2C%20Tokyo%20150-0002%20%EC%9D%BC%EB%B3%B8" TargetMode="External" Id="rId19" /><Relationship Type="http://schemas.openxmlformats.org/officeDocument/2006/relationships/hyperlink" Target="https://x.com/nanaya_aoyama/with_replies" TargetMode="External" Id="rId20" /><Relationship Type="http://schemas.openxmlformats.org/officeDocument/2006/relationships/hyperlink" Target="https://www.pref.shizuoka.jp/_res/projects/default_project/_page_/001/080/309/nanaya.pdf" TargetMode="External" Id="rId21" /><Relationship Type="http://schemas.openxmlformats.org/officeDocument/2006/relationships/hyperlink" Target="https://www.google.com/maps/search/?api=1&amp;query=%EC%B9%B4%EB%A9%94%EC%A5%AC%202%20Chome-18-11%20Kaminarimon%2C%20Taito%20City%2C%20Tokyo%20111-0034%20%EC%9D%BC%EB%B3%B8" TargetMode="External" Id="rId22" /><Relationship Type="http://schemas.openxmlformats.org/officeDocument/2006/relationships/hyperlink" Target="https://asakusanioideyo.com/07/200/" TargetMode="External" Id="rId23" /><Relationship Type="http://schemas.openxmlformats.org/officeDocument/2006/relationships/hyperlink" Target="https://www.google.com/maps/search/?api=1&amp;query=%E8%B3%87%E7%94%9F%E5%A0%82%E3%83%91%E3%83%BC%E3%83%A9%E3%83%BC%20%E9%8A%80%E5%BA%A7%E6%9C%AC%E5%BA%97%E3%82%B5%E3%83%AD%E3%83%B3%E3%83%BB%E3%83%89%E3%83%BB%E3%82%AB%E3%83%95%E3%82%A7%203F%20%E9%8A%80%E5%BA%A78-8-3%20%E6%9D%B1%E4%BA%AC%E9%8A%80%E5%BA%A7%E8%B3%87%E7%94%9F%E5%A0%82%E3%83%93%E3%83%AB3F" TargetMode="External" Id="rId24" /><Relationship Type="http://schemas.openxmlformats.org/officeDocument/2006/relationships/hyperlink" Target="https://parlour.shiseido.co.jp/shoplist/salondecafeginza/" TargetMode="External" Id="rId25" /><Relationship Type="http://schemas.openxmlformats.org/officeDocument/2006/relationships/hyperlink" Target="https://www.google.com/maps/search/?api=1&amp;query=%EA%B5%90%EC%9E%90%EB%85%B8%20%ED%9B%84%EC%BF%A0%ED%98%B8%EC%9A%B0%20%EC%8B%A0%EC%A3%BC%EC%BF%A0%EC%A0%90%20%EC%9D%BC%EB%B3%B8%20%E3%80%92160-0022%20Tokyo%2C%20Shinjuku%20City%2C%20Shinjuku%2C%202%20Chome%E2%88%928%E2%88%926%20KDX%E6%96%B0%E5%AE%BF286%E3%83%93%E3%83%AB%201%E9%9A%8E" TargetMode="External" Id="rId26" /><Relationship Type="http://schemas.openxmlformats.org/officeDocument/2006/relationships/hyperlink" Target="https://fukuho.net/" TargetMode="External" Id="rId27" /><Relationship Type="http://schemas.openxmlformats.org/officeDocument/2006/relationships/hyperlink" Target="https://tabelog.com/tokyo/A1304/A130402/13050544/" TargetMode="External" Id="rId28" /><Relationship Type="http://schemas.openxmlformats.org/officeDocument/2006/relationships/hyperlink" Target="https://www.google.com/maps/search/?api=1&amp;query=%E6%A2%85%E4%B8%98%E5%AF%BF%E5%8F%B8%E3%81%AE%E7%BE%8E%E7%99%BB%E5%88%A9%20%E6%B8%8B%E8%B0%B7%E5%BA%97%20%E9%81%93%E7%8E%84%E5%9D%821-12-3%20%E3%83%9E%E3%83%BC%E3%82%AF%E3%82%B7%E3%83%86%E3%82%A3%E3%82%A4%E3%83%BC%E3%82%B9%E3%83%884F" TargetMode="External" Id="rId29" /><Relationship Type="http://schemas.openxmlformats.org/officeDocument/2006/relationships/hyperlink" Target="https://www.sushinomidori.co.jp/shops/shibuya/" TargetMode="External" Id="rId30" /><Relationship Type="http://schemas.openxmlformats.org/officeDocument/2006/relationships/hyperlink" Target="https://www.google.com/maps/search/?api=1&amp;query=Imahan%20Annex%202%20Chome-2-5%20Asakusa%2C%20Taito%20City%2C%20Tokyo%20111-0032%20%EC%9D%BC%EB%B3%B8" TargetMode="External" Id="rId31" /><Relationship Type="http://schemas.openxmlformats.org/officeDocument/2006/relationships/hyperlink" Target="https://www.asakusa-imahan.co.jp/" TargetMode="External" Id="rId32" /><Relationship Type="http://schemas.openxmlformats.org/officeDocument/2006/relationships/hyperlink" Target="https://www.asakusa-imahan.co.jp/reservation/" TargetMode="External" Id="rId33" /><Relationship Type="http://schemas.openxmlformats.org/officeDocument/2006/relationships/hyperlink" Target="https://www.google.com/maps/search/?api=1&amp;query=%ED%94%84%EB%A0%88%EB%8D%B0%EB%A6%AD%20%EC%B9%B4%EC%85%80%20%EA%B8%B4%EC%9E%90%20%EB%AF%B8%EC%B8%A0%EC%BD%94%EC%8B%9C%EC%A0%90%204%20Chome-6-16%20Ginza%2C%20Chuo%20City%2C%20Tokyo%20104-8212%20%EC%9D%BC%EB%B3%B8" TargetMode="External" Id="rId34" /><Relationship Type="http://schemas.openxmlformats.org/officeDocument/2006/relationships/hyperlink" Target="https://www.frederic-cassel.jp/" TargetMode="External" Id="rId35" /><Relationship Type="http://schemas.openxmlformats.org/officeDocument/2006/relationships/hyperlink" Target="https://www.mistore.jp/store/ginza/shops/foods/foodgarden/shopnews_list/shopnews00761.html" TargetMode="External" Id="rId36" /><Relationship Type="http://schemas.openxmlformats.org/officeDocument/2006/relationships/hyperlink" Target="https://www.google.com/maps/search/?api=1&amp;query=%ED%82%A4%EB%A6%AC%EB%AC%B4%EA%B8%B0%EC%95%BC%20%EC%A7%84%EB%A1%9C%EC%BF%A0%20%EC%9D%BC%EB%B3%B8%20%E3%80%92160-0022%20Tokyo%2C%20Shinjuku%20City%2C%20Shinjuku%2C%201%20Chome%E2%88%9217%E2%88%921%20LAND%E3%83%BBDEN1F" TargetMode="External" Id="rId37" /><Relationship Type="http://schemas.openxmlformats.org/officeDocument/2006/relationships/hyperlink" Target="https://r.goope.jp/jinroku-gyoen/free/shop-gyoen" TargetMode="External" Id="rId38" /><Relationship Type="http://schemas.openxmlformats.org/officeDocument/2006/relationships/hyperlink" Target="https://tabelog.com/tokyo/A1304/A130402/13182646/dtlmenu/" TargetMode="External" Id="rId39" /><Relationship Type="http://schemas.openxmlformats.org/officeDocument/2006/relationships/hyperlink" Target="https://www.google.com/maps/search/?api=1&amp;query=NEZUCAF%C3%89%20%2F%20%E3%83%8D%E3%83%85%E3%82%AB%E3%83%95%E3%82%A7%20%E6%B8%AF%E5%8C%BA%E5%8D%97%E9%9D%92%E5%B1%B16-5-1%20%E6%A0%B9%E6%B4%A5%E7%BE%8E%E8%A1%93%E9%A4%A8%E5%86%85" TargetMode="External" Id="rId40" /><Relationship Type="http://schemas.openxmlformats.org/officeDocument/2006/relationships/hyperlink" Target="https://www.nezu-muse.or.jp/jp/visit/cafe/" TargetMode="External" Id="rId41" /><Relationship Type="http://schemas.openxmlformats.org/officeDocument/2006/relationships/hyperlink" Target="https://www.e-tix.jp/nezu-muse/en/" TargetMode="External" Id="rId42" /><Relationship Type="http://schemas.openxmlformats.org/officeDocument/2006/relationships/hyperlink" Target="https://www.google.com/maps/search/?api=1&amp;query=KANADE%20LOUNGE%20%2F%20%E3%82%AB%E3%83%8A%E3%83%87%20%E3%83%A9%E3%82%A6%E3%83%B3%E3%82%B8%20%E7%9B%AE%E9%BB%92%E5%8C%BA%E4%B8%8B%E7%9B%AE%E9%BB%921-8-1%20%E3%83%9B%E3%83%86%E3%83%AB%E9%9B%85%E5%8F%99%E5%9C%92%E6%9D%B1%E4%BA%AC1F" TargetMode="External" Id="rId43" /><Relationship Type="http://schemas.openxmlformats.org/officeDocument/2006/relationships/hyperlink" Target="https://gajoen-tokyo.hiltonjapan.co.jp/restaurants/kanade-lounge" TargetMode="External" Id="rId44" /><Relationship Type="http://schemas.openxmlformats.org/officeDocument/2006/relationships/hyperlink" Target="https://www.tablecheck.com/ja/shops/gajoentokyo-kanadelounge/reserve" TargetMode="External" Id="rId45" /><Relationship Type="http://schemas.openxmlformats.org/officeDocument/2006/relationships/hyperlink" Target="https://www.google.com/maps/search/?api=1&amp;query=%E4%B8%AD%E5%B3%B6%E3%81%AE%E5%BE%A1%E8%8C%B6%E5%B1%8B%20%2F%20Nakajima-no-Ochaya%20%E4%B8%AD%E5%A4%AE%E5%8C%BA%E6%B5%9C%E9%9B%A2%E5%AE%AE%E5%BA%AD%E5%9C%921-1%20%E6%B5%9C%E9%9B%A2%E5%AE%AE%E6%81%A9%E8%B3%9C%E5%BA%AD%E5%9C%92%E5%86%85" TargetMode="External" Id="rId46" /><Relationship Type="http://schemas.openxmlformats.org/officeDocument/2006/relationships/hyperlink" Target="https://www.tokyo-park.or.jp/park/hama-rikyu/facility/index.html" TargetMode="External" Id="rId47" /><Relationship Type="http://schemas.openxmlformats.org/officeDocument/2006/relationships/hyperlink" Target="https://www.tokyo-park.or.jp/park/hama-rikyu/" TargetMode="External" Id="rId48" /><Relationship Type="http://schemas.openxmlformats.org/officeDocument/2006/relationships/hyperlink" Target="https://www.google.com/maps/search/?api=1&amp;query=%E8%8C%B6%E6%B4%92%20%E9%87%91%E7%94%B0%E4%B8%AD%20%2F%20Sahsya%20Kanetanaka%20%E6%B8%AF%E5%8C%BA%E5%8C%97%E9%9D%92%E5%B1%B13-6-1%20%E3%82%AA%E3%83%BC%E3%82%AF%E8%A1%A8%E5%8F%82%E9%81%932F" TargetMode="External" Id="rId49" /><Relationship Type="http://schemas.openxmlformats.org/officeDocument/2006/relationships/hyperlink" Target="https://tabelog.com/tokyo/A1306/A130602/13154538/" TargetMode="External" Id="rId50" /><Relationship Type="http://schemas.openxmlformats.org/officeDocument/2006/relationships/hyperlink" Target="https://g080507.gorp.jp/" TargetMode="External" Id="rId51" /><Relationship Type="http://schemas.openxmlformats.org/officeDocument/2006/relationships/hyperlink" Target="https://www.google.com/maps/search/?api=1&amp;query=%E3%82%AA%E3%83%AA%E3%82%A8%E3%83%B3%E3%83%88%E3%83%BB%E3%82%AB%E3%83%95%E3%82%A7%20%2F%20Orient%20Caf%C3%A9%20%E6%96%87%E4%BA%AC%E5%8C%BA%E6%9C%AC%E9%A7%92%E8%BE%BC2-28-21%20%E6%9D%B1%E6%B4%8B%E6%96%87%E5%BA%AB%E5%86%85" TargetMode="External" Id="rId52" /><Relationship Type="http://schemas.openxmlformats.org/officeDocument/2006/relationships/hyperlink" Target="https://www.koiwaifarmdining.co.jp/brands/orientcafe/" TargetMode="External" Id="rId53" /><Relationship Type="http://schemas.openxmlformats.org/officeDocument/2006/relationships/hyperlink" Target="https://www.tablecheck.com/ja/shops/orientcafe/reserve" TargetMode="External" Id="rId54" /><Relationship Type="http://schemas.openxmlformats.org/officeDocument/2006/relationships/hyperlink" Target="https://www.google.com/maps/search/?api=1&amp;query=%E3%82%AB%E3%83%95%E3%82%A7%E3%83%80%E3%82%A4%E3%83%8B%E3%83%B3%E3%82%B0%20%E8%8C%B6%E6%A5%93%20%2F%20SAFU%20by%20Onko%20Chishin%20%E6%B8%AF%E5%8C%BA%E8%99%8E%E3%83%8E%E9%96%804-1-35%20%E8%8F%8A%E6%B1%A0%E5%AF%9B%E5%AE%9F%E8%A8%98%E5%BF%B5%20%E6%99%BA%E7%BE%8E%E8%A1%93%E9%A4%A8%E5%86%85" TargetMode="External" Id="rId55" /><Relationship Type="http://schemas.openxmlformats.org/officeDocument/2006/relationships/hyperlink" Target="https://safu.by-onko-chishin.com/" TargetMode="External" Id="rId56" /><Relationship Type="http://schemas.openxmlformats.org/officeDocument/2006/relationships/hyperlink" Target="https://safu.by-onko-chishin.com/wp-content/uploads/2026/07/cafe-menu.pdf" TargetMode="External" Id="rId57" /><Relationship Type="http://schemas.openxmlformats.org/officeDocument/2006/relationships/hyperlink" Target="https://cms.hiltonjapan.co.jp/wp-content/uploads/sites/9/2026/08/31110039/0828%E3%83%A9%E3%82%A6%E3%83%B3%E3%82%B8-.pdf" TargetMode="External" Id="rId58" /><Relationship Type="http://schemas.openxmlformats.org/officeDocument/2006/relationships/hyperlink" Target="https://www.metro.tokyo.lg.jp/information/press/2026/08/2026082022" TargetMode="External" Id="rId59" /><Relationship Type="http://schemas.openxmlformats.org/officeDocument/2006/relationships/table" Target="/xl/tables/table1.xml" Id="rId60" /></Relationships>
</file>

<file path=xl/worksheets/sheet1.xml><?xml version="1.0" encoding="utf-8"?>
<worksheet xmlns="http://schemas.openxmlformats.org/spreadsheetml/2006/main">
  <sheetPr>
    <tabColor rgb="FF16695F"/>
    <outlinePr summaryBelow="1" summaryRight="1"/>
    <pageSetUpPr/>
  </sheetPr>
  <dimension ref="A1:F61"/>
  <sheetViews>
    <sheetView showGridLines="0" workbookViewId="0">
      <pane ySplit="7" topLeftCell="A8" activePane="bottomLeft" state="frozen"/>
      <selection activeCell="A1" sqref="A1"/>
    </sheetView>
  </sheetViews>
  <sheetFormatPr baseColWidth="8" defaultRowHeight="15"/>
  <cols>
    <col width="11.88000011444092" customWidth="1" min="1" max="1"/>
    <col width="28.1299991607666" customWidth="1" min="2" max="2"/>
    <col width="25.6299991607666" customWidth="1" min="3" max="3"/>
    <col width="29.3799991607666" customWidth="1" min="4" max="4"/>
    <col width="26.8799991607666" customWidth="1" min="5" max="5"/>
    <col width="37.5" customWidth="1" min="6" max="6"/>
  </cols>
  <sheetData>
    <row r="1" ht="36" customHeight="1">
      <c r="A1" s="4" t="inlineStr">
        <is>
          <t>도쿄 가족여행 | 맛집과 정원 카페 4박 5일</t>
        </is>
      </c>
    </row>
    <row r="2" ht="34" customHeight="1">
      <c r="A2" s="6" t="inlineStr">
        <is>
          <t>2026.10.01(목)~10.05(월) · 성인 3명 기준 · 확인일 2026.09.27 · 10/1 수정 · 시부야 스카이 제외</t>
        </is>
      </c>
    </row>
    <row r="3" ht="34" customHeight="1">
      <c r="A3" s="6" t="inlineStr">
        <is>
          <t>10/1 수정안: 시각은 목표입니다. 확정 예약은 우나후지 10/3(토) 17:00 한 곳. 기본은 10/2 가마쿠라이며, 날씨에 따라 2·3일의 낮 일정만 교체하고 저녁(10/2 신발·이른 저녁, 10/3 우나후지)은 날짜 그대로 둡니다.</t>
        </is>
      </c>
    </row>
    <row r="4" ht="38" customHeight="1">
      <c r="A4" s="6" t="inlineStr">
        <is>
          <t>원본 299곳을 후보로 읽고 동선·메뉴·영업 조건으로 선별했습니다. 미확인 목록 73건은 일정에 넣지 않았으며, 299곳 전체의 최신 리뷰를 검증한 것은 아닙니다.</t>
        </is>
      </c>
    </row>
    <row r="5" ht="38" customHeight="1">
      <c r="A5" s="6" t="inlineStr">
        <is>
          <t>하루 주 카페 1곳. 서부 일정일은 카나데 14:00~15:30, 네즈·사샤는 교체 후보입니다. 하마리큐 다실·사후는 10/4가 요코하마 저녁으로 바뀌어 이번에는 넣지 않았습니다.</t>
        </is>
      </c>
    </row>
    <row r="6" ht="26" customHeight="1">
      <c r="A6" s="8" t="inlineStr">
        <is>
          <t>01  날짜별 동선 | 낮에는 관광, 저녁은 예약 가능한 식사 중심</t>
        </is>
      </c>
    </row>
    <row r="7" ht="32" customHeight="1">
      <c r="A7" s="10" t="inlineStr">
        <is>
          <t>날짜</t>
        </is>
      </c>
      <c r="B7" s="10" t="inlineStr">
        <is>
          <t>동선·오전</t>
        </is>
      </c>
      <c r="C7" s="10" t="inlineStr">
        <is>
          <t>점심</t>
        </is>
      </c>
      <c r="D7" s="10" t="inlineStr">
        <is>
          <t>저녁</t>
        </is>
      </c>
      <c r="E7" s="10" t="inlineStr">
        <is>
          <t>간식·휴식</t>
        </is>
      </c>
      <c r="F7" s="10" t="inlineStr">
        <is>
          <t>바꿀 때의 기준</t>
        </is>
      </c>
    </row>
    <row r="8" ht="150" customHeight="1">
      <c r="A8" s="45" t="n">
        <v>46296</v>
      </c>
      <c r="B8" s="5" t="inlineStr">
        <is>
          <t>목요일 · 도착
나리타 → 신주쿠 → 숙소
기존 가이드 도착 16:30 기준</t>
        </is>
      </c>
      <c r="C8" s="5" t="inlineStr">
        <is>
          <t>기내 또는 출발 전
도쿄 점심 예약 없음</t>
        </is>
      </c>
      <c r="D8" s="5" t="inlineStr">
        <is>
          <t>20:15 이후 목표
고기 저녁(신주쿠산초메)
① 야키니쿠 우시고로 (L.O. 22:30, 03-3358-4129)
② 에이징 비프 (L.O. 22:00, 03-6273-2985)</t>
        </is>
      </c>
      <c r="E8" s="5" t="inlineStr">
        <is>
          <t>이날은 관광·술자리 추가 없음
숙소 복귀와 수면 우선</t>
        </is>
      </c>
      <c r="F8" s="5" t="inlineStr">
        <is>
          <t>3명 예산 10~15만 원(약 11,400~17,400엔)
코스는 상한을 넘으니 단품 위주
늦거나 피곤하면 하야시다 라멘</t>
        </is>
      </c>
    </row>
    <row r="9" ht="150" customHeight="1">
      <c r="A9" s="46" t="n">
        <v>46297</v>
      </c>
      <c r="B9" s="15" t="inlineStr">
        <is>
          <t>금요일 · 가마쿠라 (아침 일찍)
07:30 신주쿠 출발(쇼난신주쿠라인 즈시행)
08:40 대불 또는 하세데라 → 09:50 고마치도리·하치만구
12:30 가마쿠라 출발 → 13:45 숙소에서 쉬기
15:40 숙소 출발</t>
        </is>
      </c>
      <c r="C9" s="15" t="inlineStr">
        <is>
          <t>11:10 가마쿠라 아키모토
시라스·현지 채소</t>
        </is>
      </c>
      <c r="D9" s="15" t="inlineStr">
        <is>
          <t>16:00 오다큐 백화점 신주쿠점 2F
엄마 신발: MARGARET HOWELL idea
플랫슈즈 132505 LBG(라이트 베이지)
17:00 츠나하치 총본점 이른 저녁
17:40 개인 약속으로 따로 이동, 부모님은 택시로 숙소</t>
        </is>
      </c>
      <c r="E9" s="15" t="inlineStr">
        <is>
          <t>대불 또는 하세데라 중 1곳(다리가 괜찮으면 둘 다)
하치만구 본궁 계단(약 60단)이 힘들면 아래에서 참배
13:45~15:30 숙소 휴식</t>
        </is>
      </c>
      <c r="F9" s="15" t="inlineStr">
        <is>
          <t>10/2 오전 비가 많으면 10/3과 낮 일정 교체
생시라스 미입고 → 익힌 시라스
신발 재고는 미리 전화(03-5325-0722)
없으면 도부 이케부쿠로 2F(03-5951-6599)
저녁 일정은 날짜 고정</t>
        </is>
      </c>
    </row>
    <row r="10" ht="150" customHeight="1">
      <c r="A10" s="45" t="n">
        <v>46298</v>
      </c>
      <c r="B10" s="5" t="inlineStr">
        <is>
          <t>토요일 · 서부 도쿄
09:00 메이지신궁 짧게
오모테산도 → 메구로(카나데) → 하쓰다이
16:00 하쓰다이로 이동</t>
        </is>
      </c>
      <c r="C10" s="5" t="inlineStr">
        <is>
          <t>10:45 도착 / 11:00 목표
마이센 아오야마 본점
돈가스 정식</t>
        </is>
      </c>
      <c r="D10" s="5" t="inlineStr">
        <is>
          <t>17:00 우나후지 오페라시티 53F
예약 완료 · 상 히츠마부시
18:45 오모이데 요코초 산책(선택)
이후 택시로 숙소</t>
        </is>
      </c>
      <c r="E10" s="5" t="inlineStr">
        <is>
          <t>14:00~15:30 카나데 라운지
네즈·사샤는 카나데 대체 후보
기본안에 두 카페를 더하지 않음</t>
        </is>
      </c>
      <c r="F10" s="5" t="inlineStr">
        <is>
          <t>비·피로 시 메이지신궁 생략
가마쿠라 10/3 선택 시 낮 일정만 10/2로
우나후지 17:00은 10/3 그대로
카나데 예약은 변경 가능 여부 확인</t>
        </is>
      </c>
    </row>
    <row r="11" ht="150" customHeight="1">
      <c r="A11" s="46" t="n">
        <v>46299</v>
      </c>
      <c r="B11" s="15" t="inlineStr">
        <is>
          <t>일요일 · 아사쿠사 → 요코하마의 밤
09:30 아사쿠사 → 12:30 아키하바라 가이요도 하비로비
13:30 숙소에서 쉬기 → 15:45 요코하마로
16:45 에어 캐빈(해 지는 시각 17:23)</t>
        </is>
      </c>
      <c r="C11" s="15" t="inlineStr">
        <is>
          <t>11:00 나미키 야부소바
소바·튀김
저녁 노게를 위해 가볍게</t>
        </is>
      </c>
      <c r="D11" s="15" t="inlineStr">
        <is>
          <t>18:00 요코하마 노게 저녁
노게노 다이도코로 파오시티(97석, 일 12~23시)
핫페퍼 예약 권장 · 안 되면 피오시티 지하 2층
19:45 출발, 21:00경 숙소</t>
        </is>
      </c>
      <c r="E11" s="15" t="inlineStr">
        <is>
          <t>13:30~15:30 숙소 휴식
에어 캐빈 왕복 1,800엔(성인)
운하파크에서 미나토미라이 야경</t>
        </is>
      </c>
      <c r="F11" s="15" t="inlineStr">
        <is>
          <t>아키하바라 가게는 실내라 비가 와도 그대로
강풍으로 에어 캐빈이 멈추면 역 앞에서 야경만
피곤하면 요코하마를 빼고 숙소 근처에서 저녁
폰가·에비스·긴자는 이번 일정에서 제외</t>
        </is>
      </c>
    </row>
    <row r="12" ht="150" customHeight="1">
      <c r="A12" s="45" t="n">
        <v>46300</v>
      </c>
      <c r="B12" s="5" t="inlineStr">
        <is>
          <t>월요일 · 귀국
09:30 짐 정리·체크아웃 준비
10:20 숙소 출발(택시) → 신주쿠역
11:08 N'EX 21호 → 공항제2빌딩 12:27</t>
        </is>
      </c>
      <c r="C12" s="5" t="inlineStr">
        <is>
          <t>역 도시락·가벼운 포장
유명 식당 줄서기 없음</t>
        </is>
      </c>
      <c r="D12" s="5" t="inlineStr">
        <is>
          <t>귀국 후 식사
도쿄 식사 예산에 제외</t>
        </is>
      </c>
      <c r="E12" s="5" t="inlineStr">
        <is>
          <t>음료·간식은 공항에서 여유 있게
출국 전 쇼핑을 위해 늦게
출발하는 계획은 피함</t>
        </is>
      </c>
      <c r="F12" s="5" t="inlineStr">
        <is>
          <t>N'EX 21호(신주쿠 11:08 → 공항제2빌딩 12:27, 평일 시각)
대안: 11:38 발 23호(12:54) · 10:38 발 19호(11:53)
제3터미널은 역에서 걸어서 약 15분, 12:45경 도착
ZE610 16:20 · 10/5는 한국 대체공휴일이라 붐빔</t>
        </is>
      </c>
    </row>
    <row r="13">
      <c r="A13" s="3" t="n"/>
      <c r="B13" s="3" t="n"/>
      <c r="C13" s="3" t="n"/>
      <c r="D13" s="3" t="n"/>
      <c r="E13" s="3" t="n"/>
      <c r="F13" s="3" t="n"/>
    </row>
    <row r="14" ht="44" customHeight="1">
      <c r="A14" s="6" t="inlineStr">
        <is>
          <t>2일↔3일 교체: 가마쿠라와 서부 도쿄(메이지신궁·마이센·카나데)의 낮 일정만 서로 바꿉니다. 저녁은 날짜 고정: 10/2 엄마 신발(오다큐)·츠나하치·개인 약속, 10/3 우나후지 17:00 예약. 요코하마는 10/4 저녁.</t>
        </is>
      </c>
    </row>
    <row r="15">
      <c r="A15" s="3" t="n"/>
      <c r="B15" s="3" t="n"/>
      <c r="C15" s="3" t="n"/>
      <c r="D15" s="3" t="n"/>
      <c r="E15" s="3" t="n"/>
      <c r="F15" s="3" t="n"/>
    </row>
    <row r="16" ht="26" customHeight="1">
      <c r="A16" s="8" t="inlineStr">
        <is>
          <t>02  식비와 카페 입장료 | 계획 예산, 단위 JPY</t>
        </is>
      </c>
    </row>
    <row r="17" ht="30" customHeight="1">
      <c r="A17" s="3" t="inlineStr">
        <is>
          <t>성인 인원</t>
        </is>
      </c>
      <c r="B17" s="18" t="n">
        <v>3</v>
      </c>
      <c r="C17" s="3" t="inlineStr">
        <is>
          <t>아침 1회 예산</t>
        </is>
      </c>
      <c r="D17" s="18" t="n">
        <v>1000</v>
      </c>
      <c r="E17" s="3" t="inlineStr">
        <is>
          <t>아침 횟수</t>
        </is>
      </c>
      <c r="F17" s="18" t="n">
        <v>4</v>
      </c>
    </row>
    <row r="18" ht="32" customHeight="1">
      <c r="A18" s="10" t="inlineStr">
        <is>
          <t>구분</t>
        </is>
      </c>
      <c r="B18" s="10" t="inlineStr">
        <is>
          <t>항목</t>
        </is>
      </c>
      <c r="C18" s="10" t="inlineStr">
        <is>
          <t>1인 하한</t>
        </is>
      </c>
      <c r="D18" s="10" t="inlineStr">
        <is>
          <t>1인 상한</t>
        </is>
      </c>
      <c r="E18" s="10" t="inlineStr">
        <is>
          <t>가족 하한</t>
        </is>
      </c>
      <c r="F18" s="10" t="inlineStr">
        <is>
          <t>가족 상한</t>
        </is>
      </c>
    </row>
    <row r="19" ht="30" customHeight="1">
      <c r="A19" s="3" t="inlineStr">
        <is>
          <t>10/1 저녁</t>
        </is>
      </c>
      <c r="B19" s="3" t="inlineStr">
        <is>
          <t>고기 저녁 (우시고로 또는 에이징 비프, 3명 10~15만 원)</t>
        </is>
      </c>
      <c r="C19" s="47" t="n">
        <v>3800</v>
      </c>
      <c r="D19" s="47" t="n">
        <v>5800</v>
      </c>
      <c r="E19" s="47">
        <f>C19*$B$17</f>
        <v>11400</v>
      </c>
      <c r="F19" s="47">
        <f>D19*$B$17</f>
        <v>17400</v>
      </c>
    </row>
    <row r="20" ht="30" customHeight="1">
      <c r="A20" s="3" t="inlineStr">
        <is>
          <t>10/2 점심</t>
        </is>
      </c>
      <c r="B20" s="3" t="inlineStr">
        <is>
          <t>가마쿠라 아키모토</t>
        </is>
      </c>
      <c r="C20" s="47">
        <f>'맛집 상세'!E8</f>
        <v>2500</v>
      </c>
      <c r="D20" s="47">
        <f>'맛집 상세'!F8</f>
        <v>3500</v>
      </c>
      <c r="E20" s="47">
        <f>C20*$B$17</f>
        <v>7500</v>
      </c>
      <c r="F20" s="47">
        <f>D20*$B$17</f>
        <v>10500</v>
      </c>
    </row>
    <row r="21" ht="30" customHeight="1">
      <c r="A21" s="3" t="inlineStr">
        <is>
          <t>10/2 저녁</t>
        </is>
      </c>
      <c r="B21" s="3" t="inlineStr">
        <is>
          <t>츠나하치 총본점 (10/2 이른 저녁)</t>
        </is>
      </c>
      <c r="C21" s="47">
        <f>'맛집 상세'!E9</f>
        <v>2500</v>
      </c>
      <c r="D21" s="47">
        <f>'맛집 상세'!F9</f>
        <v>4500</v>
      </c>
      <c r="E21" s="47">
        <f>C21*$B$17</f>
        <v>7500</v>
      </c>
      <c r="F21" s="47">
        <f>D21*$B$17</f>
        <v>13500</v>
      </c>
    </row>
    <row r="22" ht="30" customHeight="1">
      <c r="A22" s="3" t="inlineStr">
        <is>
          <t>10/3 점심</t>
        </is>
      </c>
      <c r="B22" s="3" t="inlineStr">
        <is>
          <t>마이센 아오야마 본점</t>
        </is>
      </c>
      <c r="C22" s="47">
        <f>'맛집 상세'!E10</f>
        <v>2500</v>
      </c>
      <c r="D22" s="47">
        <f>'맛집 상세'!F10</f>
        <v>3500</v>
      </c>
      <c r="E22" s="47">
        <f>C22*$B$17</f>
        <v>7500</v>
      </c>
      <c r="F22" s="47">
        <f>D22*$B$17</f>
        <v>10500</v>
      </c>
    </row>
    <row r="23" ht="30" customHeight="1">
      <c r="A23" s="3" t="inlineStr">
        <is>
          <t>10/3 저녁</t>
        </is>
      </c>
      <c r="B23" s="3" t="inlineStr">
        <is>
          <t>우나후지 도쿄 오페라시티점 (예약 완료)</t>
        </is>
      </c>
      <c r="C23" s="47">
        <f>'맛집 상세'!E13</f>
        <v>6500</v>
      </c>
      <c r="D23" s="47">
        <f>'맛집 상세'!F13</f>
        <v>8500</v>
      </c>
      <c r="E23" s="47">
        <f>C23*$B$17</f>
        <v>19500</v>
      </c>
      <c r="F23" s="47">
        <f>D23*$B$17</f>
        <v>25500</v>
      </c>
    </row>
    <row r="24" ht="30" customHeight="1">
      <c r="A24" s="3" t="inlineStr">
        <is>
          <t>10/4 점심</t>
        </is>
      </c>
      <c r="B24" s="3" t="inlineStr">
        <is>
          <t>나미키 야부소바</t>
        </is>
      </c>
      <c r="C24" s="47">
        <f>'맛집 상세'!E12</f>
        <v>1500</v>
      </c>
      <c r="D24" s="47">
        <f>'맛집 상세'!F12</f>
        <v>2500</v>
      </c>
      <c r="E24" s="47">
        <f>C24*$B$17</f>
        <v>4500</v>
      </c>
      <c r="F24" s="47">
        <f>D24*$B$17</f>
        <v>7500</v>
      </c>
    </row>
    <row r="25" ht="30" customHeight="1">
      <c r="A25" s="3" t="inlineStr">
        <is>
          <t>10/4 저녁</t>
        </is>
      </c>
      <c r="B25" s="3" t="inlineStr">
        <is>
          <t>요코하마 노게 저녁 (파오시티 등, 예약 권장)</t>
        </is>
      </c>
      <c r="C25" s="47" t="n">
        <v>3000</v>
      </c>
      <c r="D25" s="47" t="n">
        <v>5000</v>
      </c>
      <c r="E25" s="47">
        <f>C25*$B$17</f>
        <v>9000</v>
      </c>
      <c r="F25" s="47">
        <f>D25*$B$17</f>
        <v>15000</v>
      </c>
    </row>
    <row r="26" ht="30" customHeight="1">
      <c r="A26" s="3" t="inlineStr">
        <is>
          <t>10/5 점심</t>
        </is>
      </c>
      <c r="B26" s="3" t="inlineStr">
        <is>
          <t>역 도시락·포장</t>
        </is>
      </c>
      <c r="C26" s="47" t="n">
        <v>1500</v>
      </c>
      <c r="D26" s="47" t="n">
        <v>2000</v>
      </c>
      <c r="E26" s="47">
        <f>C26*$B$17</f>
        <v>4500</v>
      </c>
      <c r="F26" s="47">
        <f>D26*$B$17</f>
        <v>6000</v>
      </c>
    </row>
    <row r="27" ht="30" customHeight="1">
      <c r="A27" s="3" t="inlineStr">
        <is>
          <t>아침</t>
        </is>
      </c>
      <c r="B27" s="3" t="inlineStr">
        <is>
          <t>1회 예산 × 횟수</t>
        </is>
      </c>
      <c r="C27" s="47">
        <f>$D$17*$F$17</f>
        <v>4000</v>
      </c>
      <c r="D27" s="47">
        <f>$D$17*$F$17</f>
        <v>4000</v>
      </c>
      <c r="E27" s="47">
        <f>C27*$B$17</f>
        <v>12000</v>
      </c>
      <c r="F27" s="47">
        <f>D27*$B$17</f>
        <v>12000</v>
      </c>
    </row>
    <row r="28" ht="30" customHeight="1">
      <c r="A28" s="3" t="inlineStr">
        <is>
          <t>카페</t>
        </is>
      </c>
      <c r="B28" s="3" t="inlineStr">
        <is>
          <t>카나데 라운지</t>
        </is>
      </c>
      <c r="C28" s="47">
        <f>'맛집 상세'!E23</f>
        <v>1600</v>
      </c>
      <c r="D28" s="47">
        <f>'맛집 상세'!F23</f>
        <v>4200</v>
      </c>
      <c r="E28" s="47">
        <f>C28*$B$17</f>
        <v>4800</v>
      </c>
      <c r="F28" s="47">
        <f>D28*$B$17</f>
        <v>12600</v>
      </c>
    </row>
    <row r="29" ht="30" customHeight="1">
      <c r="A29" s="3" t="inlineStr">
        <is>
          <t>교체 후보</t>
        </is>
      </c>
      <c r="B29" s="3" t="inlineStr">
        <is>
          <t>네즈: 기본 합계 제외</t>
        </is>
      </c>
      <c r="C29" s="47" t="n">
        <v>0</v>
      </c>
      <c r="D29" s="47" t="n">
        <v>0</v>
      </c>
      <c r="E29" s="47" t="n">
        <v>0</v>
      </c>
      <c r="F29" s="47" t="n">
        <v>0</v>
      </c>
    </row>
    <row r="30" ht="30" customHeight="1">
      <c r="A30" s="3" t="inlineStr">
        <is>
          <t>카페</t>
        </is>
      </c>
      <c r="B30" s="3" t="inlineStr">
        <is>
          <t>나카지마노 오차야 (이번 일정 제외)</t>
        </is>
      </c>
      <c r="C30" s="47" t="n">
        <v>0</v>
      </c>
      <c r="D30" s="47" t="n">
        <v>0</v>
      </c>
      <c r="E30" s="47">
        <f>C30*$B$17</f>
        <v>0</v>
      </c>
      <c r="F30" s="47">
        <f>D30*$B$17</f>
        <v>0</v>
      </c>
    </row>
    <row r="31" ht="30" customHeight="1">
      <c r="A31" s="3" t="inlineStr">
        <is>
          <t>추가 간식</t>
        </is>
      </c>
      <c r="B31" s="3" t="inlineStr">
        <is>
          <t>위 카페 외 여행 전체 여유액</t>
        </is>
      </c>
      <c r="C31" s="47" t="n">
        <v>1000</v>
      </c>
      <c r="D31" s="47" t="n">
        <v>2000</v>
      </c>
      <c r="E31" s="47">
        <f>C31*$B$17</f>
        <v>3000</v>
      </c>
      <c r="F31" s="47">
        <f>D31*$B$17</f>
        <v>6000</v>
      </c>
    </row>
    <row r="32" ht="34" customHeight="1">
      <c r="A32" s="10" t="inlineStr">
        <is>
          <t>식비 소계</t>
        </is>
      </c>
      <c r="B32" s="10" t="inlineStr">
        <is>
          <t>주요 식사 + 카페 2곳 포함</t>
        </is>
      </c>
      <c r="C32" s="48">
        <f>SUM(C19:C31)</f>
        <v>30400</v>
      </c>
      <c r="D32" s="48">
        <f>SUM(D19:D31)</f>
        <v>45500</v>
      </c>
      <c r="E32" s="48">
        <f>SUM(E19:E31)</f>
        <v>91200</v>
      </c>
      <c r="F32" s="48">
        <f>SUM(F19:F31)</f>
        <v>136500</v>
      </c>
    </row>
    <row r="33" ht="30" customHeight="1">
      <c r="A33" s="3" t="n"/>
      <c r="B33" s="3" t="n"/>
      <c r="C33" s="47" t="n"/>
      <c r="D33" s="47" t="n"/>
      <c r="E33" s="47" t="n"/>
      <c r="F33" s="47" t="n"/>
    </row>
    <row r="34" ht="30" customHeight="1">
      <c r="A34" s="3" t="inlineStr">
        <is>
          <t>교체 후보</t>
        </is>
      </c>
      <c r="B34" s="3" t="inlineStr">
        <is>
          <t>네즈 입장료: 기본 합계 제외</t>
        </is>
      </c>
      <c r="C34" s="47" t="n">
        <v>0</v>
      </c>
      <c r="D34" s="47" t="n">
        <v>0</v>
      </c>
      <c r="E34" s="47" t="n">
        <v>0</v>
      </c>
      <c r="F34" s="47" t="n">
        <v>0</v>
      </c>
    </row>
    <row r="35" ht="30" customHeight="1">
      <c r="A35" s="3" t="inlineStr">
        <is>
          <t>입장료</t>
        </is>
      </c>
      <c r="B35" s="3" t="inlineStr">
        <is>
          <t>요코하마 에어 캐빈 왕복 / 성인</t>
        </is>
      </c>
      <c r="C35" s="47" t="n">
        <v>1800</v>
      </c>
      <c r="D35" s="47" t="n">
        <v>1800</v>
      </c>
      <c r="E35" s="47">
        <f>C35*$B$17</f>
        <v>5400</v>
      </c>
      <c r="F35" s="47">
        <f>D35*$B$17</f>
        <v>5400</v>
      </c>
    </row>
    <row r="36" ht="34" customHeight="1">
      <c r="A36" s="10" t="inlineStr">
        <is>
          <t>입장 소계</t>
        </is>
      </c>
      <c r="B36" s="10" t="inlineStr">
        <is>
          <t>에어 캐빈 왕복만(대불·하세데라 입장료 별도)</t>
        </is>
      </c>
      <c r="C36" s="48">
        <f>SUM(C34:C35)</f>
        <v>1800</v>
      </c>
      <c r="D36" s="48">
        <f>SUM(D34:D35)</f>
        <v>1800</v>
      </c>
      <c r="E36" s="48">
        <f>SUM(E34:E35)</f>
        <v>5400</v>
      </c>
      <c r="F36" s="48">
        <f>SUM(F34:F35)</f>
        <v>5400</v>
      </c>
    </row>
    <row r="37" ht="34" customHeight="1">
      <c r="A37" s="10" t="inlineStr">
        <is>
          <t>총계</t>
        </is>
      </c>
      <c r="B37" s="10" t="inlineStr">
        <is>
          <t>식비 + 위 입장료</t>
        </is>
      </c>
      <c r="C37" s="48">
        <f>C32+C36</f>
        <v>32200</v>
      </c>
      <c r="D37" s="48">
        <f>D32+D36</f>
        <v>47300</v>
      </c>
      <c r="E37" s="48">
        <f>E32+E36</f>
        <v>96600</v>
      </c>
      <c r="F37" s="48">
        <f>F32+F36</f>
        <v>141900</v>
      </c>
    </row>
    <row r="38" ht="44" customHeight="1">
      <c r="A38" s="6" t="inlineStr">
        <is>
          <t>카나데는 세금·서비스 15% 포함. 네즈 선택 시 카나데를 빼고 네즈 음료 800~1,700엔+입장 1,400엔/인을 더합니다. 총계는 항공·숙박·교통·쇼핑·기타 관광 입장료(대불 300엔·하세데라 400엔 등) 제외.</t>
        </is>
      </c>
    </row>
    <row r="39">
      <c r="A39" s="3" t="n"/>
      <c r="B39" s="3" t="n"/>
      <c r="C39" s="3" t="n"/>
      <c r="D39" s="3" t="n"/>
      <c r="E39" s="3" t="n"/>
      <c r="F39" s="3" t="n"/>
    </row>
    <row r="40" ht="26" customHeight="1">
      <c r="A40" s="8" t="inlineStr">
        <is>
          <t>03  출발 전 먼저 처리할 것 | 예약·티켓 결제는 아직 하지 않음</t>
        </is>
      </c>
    </row>
    <row r="41" ht="32" customHeight="1">
      <c r="A41" s="10" t="inlineStr">
        <is>
          <t>우선순위</t>
        </is>
      </c>
      <c r="B41" s="10" t="inlineStr">
        <is>
          <t>대상</t>
        </is>
      </c>
      <c r="C41" s="10" t="inlineStr">
        <is>
          <t>희망 시각</t>
        </is>
      </c>
      <c r="D41" s="10" t="inlineStr">
        <is>
          <t>확인할 것</t>
        </is>
      </c>
      <c r="E41" s="10" t="inlineStr">
        <is>
          <t>현재 상태</t>
        </is>
      </c>
      <c r="F41" s="10" t="inlineStr">
        <is>
          <t>주의</t>
        </is>
      </c>
    </row>
    <row r="42" ht="60" customHeight="1">
      <c r="A42" s="3" t="inlineStr">
        <is>
          <t>1</t>
        </is>
      </c>
      <c r="B42" s="3" t="inlineStr">
        <is>
          <t>우나후지 오페라시티</t>
        </is>
      </c>
      <c r="C42" s="3" t="inlineStr">
        <is>
          <t>10/3(토) 17:00</t>
        </is>
      </c>
      <c r="D42" s="3" t="inlineStr">
        <is>
          <t>예약 확인 메일·문자를 가족과 공유</t>
        </is>
      </c>
      <c r="E42" s="3" t="inlineStr">
        <is>
          <t>예약 완료</t>
        </is>
      </c>
      <c r="F42" s="3" t="inlineStr">
        <is>
          <t>10/4에서 10/3으로 변경. 창가·좌석은 예약 내역 기준. 하쓰다이역 53F 전용 승강기.</t>
        </is>
      </c>
    </row>
    <row r="43" ht="60" customHeight="1">
      <c r="A43" s="3" t="inlineStr">
        <is>
          <t>2</t>
        </is>
      </c>
      <c r="B43" s="3" t="inlineStr">
        <is>
          <t>노게노 다이도코로 파오시티</t>
        </is>
      </c>
      <c r="C43" s="3" t="inlineStr">
        <is>
          <t>10/4(일) 18:00</t>
        </is>
      </c>
      <c r="D43" s="3" t="inlineStr">
        <is>
          <t>성인 3명 테이블 · 핫페퍼 온라인 예약</t>
        </is>
      </c>
      <c r="E43" s="3" t="inlineStr">
        <is>
          <t>미예약 · 예약 권장</t>
        </is>
      </c>
      <c r="F43" s="3" t="inlineStr">
        <is>
          <t>일요일 저녁이라 붐빌 수 있음. 안 되면 사쿠라기초역과 바로 이어진 피오시티 지하 2층 선술집 거리에서 빈자리.</t>
        </is>
      </c>
    </row>
    <row r="44" ht="60" customHeight="1">
      <c r="A44" s="3" t="inlineStr">
        <is>
          <t>3</t>
        </is>
      </c>
      <c r="B44" s="3" t="inlineStr">
        <is>
          <t>엄마 신발 · 오다큐 신주쿠 2F</t>
        </is>
      </c>
      <c r="C44" s="3" t="inlineStr">
        <is>
          <t>10/2(금) 16:00</t>
        </is>
      </c>
      <c r="D44" s="3" t="inlineStr">
        <is>
          <t>MARGARET HOWELL idea 플랫슈즈 132505 LBG · 엄마 사이즈 재고</t>
        </is>
      </c>
      <c r="E44" s="3" t="inlineStr">
        <is>
          <t>전화 확인 전</t>
        </is>
      </c>
      <c r="F44" s="3" t="inlineStr">
        <is>
          <t>오다큐 03-5325-0722. 없으면 도부 이케부쿠로 2F 같은 브랜드(03-5951-6599)에 재고 확인. 점원에게 보여줄 일본어 카드는 웹 가이드에 있음.</t>
        </is>
      </c>
    </row>
    <row r="45" ht="60" customHeight="1">
      <c r="A45" s="3" t="inlineStr">
        <is>
          <t>4</t>
        </is>
      </c>
      <c r="B45" s="3" t="inlineStr">
        <is>
          <t>카나데 라운지</t>
        </is>
      </c>
      <c r="C45" s="3" t="inlineStr">
        <is>
          <t>서부 일정일 14:00</t>
        </is>
      </c>
      <c r="D45" s="3" t="inlineStr">
        <is>
          <t>좌석만 성인 3명 / 시간·취소 규정</t>
        </is>
      </c>
      <c r="E45" s="3" t="inlineStr">
        <is>
          <t>미예약·빈자리 미확인</t>
        </is>
      </c>
      <c r="F45" s="3" t="inlineStr">
        <is>
          <t>기본 10/3, 가마쿠라 날짜 변경 시 10/2. 실제 예약은 별도 변경. 창가 보장 없음.</t>
        </is>
      </c>
    </row>
    <row r="46" ht="60" customHeight="1">
      <c r="A46" s="3" t="inlineStr">
        <is>
          <t>5</t>
        </is>
      </c>
      <c r="B46" s="3" t="inlineStr">
        <is>
          <t>네즈 미술관 (교체 시만)</t>
        </is>
      </c>
      <c r="C46" s="3" t="inlineStr">
        <is>
          <t>카나데 대신 선택</t>
        </is>
      </c>
      <c r="D46" s="3" t="inlineStr">
        <is>
          <t>성인 온라인 입장권 / 시간 구간</t>
        </is>
      </c>
      <c r="E46" s="3" t="inlineStr">
        <is>
          <t>미구매·입장 가용 여부 미확인</t>
        </is>
      </c>
      <c r="F46" s="3" t="inlineStr">
        <is>
          <t>카페만 이용 불가. 미술관 표는 카페 좌석을 보장하지 않음. 카나데와 중복 추가하지 않음.</t>
        </is>
      </c>
    </row>
    <row r="47" ht="60" customHeight="1">
      <c r="A47" s="3" t="inlineStr">
        <is>
          <t>6</t>
        </is>
      </c>
      <c r="B47" s="3" t="inlineStr">
        <is>
          <t>항공권·공항열차</t>
        </is>
      </c>
      <c r="C47" s="3" t="inlineStr">
        <is>
          <t>10/1 교환 때</t>
        </is>
      </c>
      <c r="D47" s="3" t="inlineStr">
        <is>
          <t>10/5 N'EX 21호(신주쿠 11:08) 3명 지정석</t>
        </is>
      </c>
      <c r="E47" s="3" t="inlineStr">
        <is>
          <t>바우처 교환 시 지정</t>
        </is>
      </c>
      <c r="F47" s="3" t="inlineStr">
        <is>
          <t>지정석 표의 시각이 우선. 21호가 안 되면 23호(11:38) 또는 19호(10:38).</t>
        </is>
      </c>
    </row>
    <row r="48" ht="60" customHeight="1">
      <c r="A48" s="3" t="inlineStr">
        <is>
          <t>7</t>
        </is>
      </c>
      <c r="B48" s="3" t="inlineStr">
        <is>
          <t>가족 취향·보행 부담</t>
        </is>
      </c>
      <c r="C48" s="3" t="inlineStr">
        <is>
          <t>출발 전</t>
        </is>
      </c>
      <c r="D48" s="3" t="inlineStr">
        <is>
          <t>알레르기·생식 선호·계단 이용</t>
        </is>
      </c>
      <c r="E48" s="3" t="inlineStr">
        <is>
          <t>미확인</t>
        </is>
      </c>
      <c r="F48" s="3" t="inlineStr">
        <is>
          <t>맛집·사진보다 가족이 편하게 먹고 앉아 쉴 수 있는지를 우선.</t>
        </is>
      </c>
    </row>
    <row r="49">
      <c r="A49" s="3" t="n"/>
      <c r="B49" s="3" t="n"/>
      <c r="C49" s="3" t="n"/>
      <c r="D49" s="3" t="n"/>
      <c r="E49" s="3" t="n"/>
      <c r="F49" s="3" t="n"/>
    </row>
    <row r="50" ht="36" customHeight="1">
      <c r="A50" s="6" t="inlineStr">
        <is>
          <t>선별은 가족여행 동선·공간·휴식을 기준으로 한 추천입니다. 모든 곳의 맛·소음·창가 자리·특정 대기시간을 보장하지 않습니다. 사샤는 13세 미만 입장 불가, 사후는 월요일 휴무입니다.</t>
        </is>
      </c>
    </row>
    <row r="51" ht="34" customHeight="1">
      <c r="A51" s="6" t="inlineStr">
        <is>
          <t>원본 맛집 파일과 이전 엑셀은 보존했습니다. 이 10/1 수정안은 웹·캘린더와 같은 기본 동선입니다. 웹에서 가마쿠라 날짜를 바꿔도 이 엑셀은 기본안이므로 14행의 교체 안내를 따르세요.</t>
        </is>
      </c>
    </row>
    <row r="52">
      <c r="A52" s="3" t="n"/>
      <c r="B52" s="3" t="n"/>
      <c r="C52" s="3" t="n"/>
      <c r="D52" s="3" t="n"/>
      <c r="E52" s="3" t="n"/>
      <c r="F52" s="3" t="n"/>
    </row>
    <row r="53" ht="34" customHeight="1">
      <c r="A53" s="22" t="inlineStr">
        <is>
          <t>최종 웹 가이드</t>
        </is>
      </c>
      <c r="B53" s="3" t="inlineStr">
        <is>
          <t>원본: 도쿄_맛집리스트_20260927_재검수.xlsx / 각 매장의 원본 번호·행은 맛집 상세 I열. 추가 카페는 공식 안내 위주로 별도 확인.</t>
        </is>
      </c>
    </row>
    <row r="54">
      <c r="A54" s="3" t="n"/>
      <c r="B54" s="3" t="n"/>
      <c r="C54" s="3" t="n"/>
      <c r="D54" s="3" t="n"/>
      <c r="E54" s="3" t="n"/>
      <c r="F54" s="3" t="n"/>
    </row>
    <row r="55" ht="26" customHeight="1">
      <c r="A55" s="8" t="inlineStr">
        <is>
          <t>04  카페만 고른다면 | 6곳을 모두 방문하는 일정이 아님</t>
        </is>
      </c>
    </row>
    <row r="56" ht="36" customHeight="1">
      <c r="A56" s="6" t="inlineStr">
        <is>
          <t>한 곳만: 카나데 라운지. 가족과 편하게 머무는 공간을 우선했습니다. 정원 산책과 미술관을 더 원한다면 네즈로 교체하고 카나데는 빼세요. 네즈 입장료·카페 대기는 별도입니다.</t>
        </is>
      </c>
    </row>
    <row r="57" ht="36" customHeight="1">
      <c r="A57" s="6" t="inlineStr">
        <is>
          <t>일본식 다실 경험: 나카지마노 오차야(하마리큐). 10/4가 요코하마 저녁으로 바뀌어 이번 일정에는 넣지 않았습니다. 다음 기회 후보.</t>
        </is>
      </c>
    </row>
    <row r="58" ht="36" customHeight="1">
      <c r="A58" s="6" t="inlineStr">
        <is>
          <t>미니멀한 건축 취향: 사샤 카네타나카. 네즈·카나데 대신 토요일 14시 카페 방문을 선택합니다. 오리엔토는 동양문고 중심으로 반일을 새로 짤 때 적합합니다.</t>
        </is>
      </c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</sheetData>
  <mergeCells count="17">
    <mergeCell ref="A38:F38"/>
    <mergeCell ref="A2:F2"/>
    <mergeCell ref="A16:F16"/>
    <mergeCell ref="B53:F53"/>
    <mergeCell ref="A51:F51"/>
    <mergeCell ref="A14:F14"/>
    <mergeCell ref="A1:F1"/>
    <mergeCell ref="A5:F5"/>
    <mergeCell ref="A6:F6"/>
    <mergeCell ref="A58:F58"/>
    <mergeCell ref="A40:F40"/>
    <mergeCell ref="A50:F50"/>
    <mergeCell ref="A4:F4"/>
    <mergeCell ref="A56:F56"/>
    <mergeCell ref="A3:F3"/>
    <mergeCell ref="A55:F55"/>
    <mergeCell ref="A57:F57"/>
  </mergeCells>
  <hyperlinks>
    <hyperlink xmlns:r="http://schemas.openxmlformats.org/officeDocument/2006/relationships" ref="A53" display="최종 웹 가이드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BA8B39"/>
    <outlinePr summaryBelow="1" summaryRight="1"/>
    <pageSetUpPr/>
  </sheetPr>
  <dimension ref="A1:L33"/>
  <sheetViews>
    <sheetView showGridLines="0" workbookViewId="0">
      <pane xSplit="3" ySplit="6" topLeftCell="D7" activePane="bottomRight" state="frozen"/>
      <selection activeCell="A1" sqref="A1"/>
    </sheetView>
  </sheetViews>
  <sheetFormatPr baseColWidth="8" defaultRowHeight="15"/>
  <cols>
    <col width="7.25" customWidth="1" min="1" max="1"/>
    <col width="13.75" customWidth="1" min="2" max="2"/>
    <col width="30.6299991607666" customWidth="1" min="3" max="3"/>
    <col width="38.75" customWidth="1" min="4" max="4"/>
    <col width="11.25" customWidth="1" min="5" max="5"/>
    <col width="11.25" customWidth="1" min="6" max="6"/>
    <col width="37.5" customWidth="1" min="7" max="7"/>
    <col width="41.25" customWidth="1" min="8" max="8"/>
    <col width="27.5" customWidth="1" min="9" max="9"/>
    <col width="11.88000011444092" customWidth="1" min="10" max="10"/>
    <col width="11.88000011444092" customWidth="1" min="11" max="11"/>
    <col width="11.88000011444092" customWidth="1" min="12" max="12"/>
  </cols>
  <sheetData>
    <row r="1" ht="36" customHeight="1">
      <c r="A1" s="23" t="inlineStr">
        <is>
          <t>맛집 상세 | 기존 식당·간식 15곳 + 분위기 카페 6곳</t>
        </is>
      </c>
    </row>
    <row r="2" ht="34" customHeight="1">
      <c r="A2" s="6" t="inlineStr">
        <is>
          <t>기준일 2026.09.27 · 10/1 수정. E·F열은 1인 1회 계획 예산입니다. 고정 메뉴값이 확인된 경우 D·H·I열에 별도로 적었습니다. 대안 식당은 기본 식비 합계에 중복 반영하지 않았습니다.</t>
        </is>
      </c>
    </row>
    <row r="3" ht="34" customHeight="1">
      <c r="A3" s="6" t="inlineStr">
        <is>
          <t>지도: 기존 목록과 동일한 지점은 원본 링크를 유지했습니다. 신규 후보와 시세이도 3F 카페는 상호·주소 검색 링크로, 특정 장소 ID가 검증된 링크와 구분됩니다.</t>
        </is>
      </c>
    </row>
    <row r="4" ht="34" customHeight="1">
      <c r="A4" s="6" t="inlineStr">
        <is>
          <t>공식 안내도 임시휴무·재고·만석을 보장하지 않습니다. I열은 확인 근거, K열은 대표 출처, L열은 추가 대조 출처입니다. 빈 L열은 추가 링크 없음입니다.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36" customHeight="1">
      <c r="A6" s="39" t="inlineStr">
        <is>
          <t>번호</t>
        </is>
      </c>
      <c r="B6" s="39" t="inlineStr">
        <is>
          <t>사용 구분</t>
        </is>
      </c>
      <c r="C6" s="39" t="inlineStr">
        <is>
          <t>상호·지점 / 주소</t>
        </is>
      </c>
      <c r="D6" s="39" t="inlineStr">
        <is>
          <t>대표 메뉴 · 고른 이유</t>
        </is>
      </c>
      <c r="E6" s="39" t="inlineStr">
        <is>
          <t>하한 JPY</t>
        </is>
      </c>
      <c r="F6" s="39" t="inlineStr">
        <is>
          <t>상한 JPY</t>
        </is>
      </c>
      <c r="G6" s="39" t="inlineStr">
        <is>
          <t>영업 · 예약 조건</t>
        </is>
      </c>
      <c r="H6" s="39" t="inlineStr">
        <is>
          <t>가족 방문 · 주의사항</t>
        </is>
      </c>
      <c r="I6" s="39" t="inlineStr">
        <is>
          <t>확인 근거 · 원본</t>
        </is>
      </c>
      <c r="J6" s="39" t="inlineStr">
        <is>
          <t>지도</t>
        </is>
      </c>
      <c r="K6" s="39" t="inlineStr">
        <is>
          <t>대표 출처</t>
        </is>
      </c>
      <c r="L6" s="39" t="inlineStr">
        <is>
          <t>보조 출처</t>
        </is>
      </c>
    </row>
    <row r="7" ht="142" customHeight="1">
      <c r="A7" s="5" t="n">
        <v>1</v>
      </c>
      <c r="B7" s="28" t="inlineStr">
        <is>
          <t>일정
10/1 저녁</t>
        </is>
      </c>
      <c r="C7" s="29" t="inlineStr">
        <is>
          <t>라멘 하야시다 신주쿠 본점
らぁ麺 はやし田 新宿本店
新宿3-31-5 ペガサス館102
TEL 03-6380-0047</t>
        </is>
      </c>
      <c r="D7" s="5" t="inlineStr">
        <is>
          <t>간장 라멘
오리와 닭을 쓰는 육수가 특징. 도착일에 무거운 코스 대신 한 그릇으로 마무리.</t>
        </is>
      </c>
      <c r="E7" s="49" t="n">
        <v>1500</v>
      </c>
      <c r="F7" s="49" t="n">
        <v>2000</v>
      </c>
      <c r="G7" s="5" t="inlineStr">
        <is>
          <t>매일 11:00~23:00
20:15 이후 도착 상황에 맞춰 방문. 예약 식사로 묶지 않음.</t>
        </is>
      </c>
      <c r="H7" s="5" t="inlineStr">
        <is>
          <t>예상 대기가 20분을 넘으면 교자노 후쿠호로 전환. 입국·수하물 지연 시 맛집보다 체크인과 휴식 우선.</t>
        </is>
      </c>
      <c r="I7" s="5" t="inlineStr">
        <is>
          <t>원본 #136 / 143행
영업시간·육수: 운영사 공식</t>
        </is>
      </c>
      <c r="J7" s="31" t="inlineStr">
        <is>
          <t>원본 지도</t>
        </is>
      </c>
      <c r="K7" s="31" t="inlineStr">
        <is>
          <t>출처 보기</t>
        </is>
      </c>
      <c r="L7" s="31" t="n"/>
    </row>
    <row r="8" ht="142" customHeight="1">
      <c r="A8" s="15" t="n">
        <v>2</v>
      </c>
      <c r="B8" s="32" t="inlineStr">
        <is>
          <t>일정
10/2 점심</t>
        </is>
      </c>
      <c r="C8" s="33" t="inlineStr">
        <is>
          <t>가마쿠라 아키모토
鎌倉 秋本
鎌倉市小町1-6-15 i-ZA鎌倉3F
TEL 0467-25-3705</t>
        </is>
      </c>
      <c r="D8" s="15" t="inlineStr">
        <is>
          <t>시라스 덮밥·가마쿠라 채소
가마쿠라에 간 날 현지 식재료를 먹는 선택. 생시라스가 없으면 가마아게(삶은 시라스)로.</t>
        </is>
      </c>
      <c r="E8" s="50" t="n">
        <v>2500</v>
      </c>
      <c r="F8" s="50" t="n">
        <v>3500</v>
      </c>
      <c r="G8" s="15" t="inlineStr">
        <is>
          <t>점심 11:00~15:30 / 목요일 휴무
예약 불가. 금요일 10:45 도착 목표.</t>
        </is>
      </c>
      <c r="H8" s="15" t="inlineStr">
        <is>
          <t>생시라스는 당일 수급에 따라 다름. 대기 30분을 넘으면 근처에서 익힌 시라스 메뉴로 변경. 3F 승강기 여부 미확인.</t>
        </is>
      </c>
      <c r="I8" s="15" t="inlineStr">
        <is>
          <t>기존 가이드 유지
영업: 가마쿠라 관광협회
예약: 타베로그</t>
        </is>
      </c>
      <c r="J8" s="35" t="inlineStr">
        <is>
          <t>지도 검색</t>
        </is>
      </c>
      <c r="K8" s="35" t="inlineStr">
        <is>
          <t>출처 보기</t>
        </is>
      </c>
      <c r="L8" s="35" t="inlineStr">
        <is>
          <t>대조 보기</t>
        </is>
      </c>
    </row>
    <row r="9" ht="142" customHeight="1">
      <c r="A9" s="5" t="n">
        <v>3</v>
      </c>
      <c r="B9" s="28" t="inlineStr">
        <is>
          <t>일정
10/2 이른 저녁</t>
        </is>
      </c>
      <c r="C9" s="29" t="inlineStr">
        <is>
          <t>츠나하치 총본점
新宿つな八 総本店
新宿3-31-8</t>
        </is>
      </c>
      <c r="D9" s="5" t="inlineStr">
        <is>
          <t>덴푸라 정식
1924년 창업. 오다큐 신발 쇼핑 뒤 17:00에 이른 저녁. 개인 약속이 있는 날이라 짧고 편한 식사로 선택.</t>
        </is>
      </c>
      <c r="E9" s="49" t="n">
        <v>2500</v>
      </c>
      <c r="F9" s="49" t="n">
        <v>4500</v>
      </c>
      <c r="G9" s="5" t="inlineStr">
        <is>
          <t>매일 11:00~22:00 / 주문마감 21:00
연중무휴(12/31·1/1 제외)
예약 없이 17:00 방문 목표.</t>
        </is>
      </c>
      <c r="H9" s="5" t="inlineStr">
        <is>
          <t>대기 20분을 넘으면 근처 다른 식당으로. 식사 후 부모님은 택시로 숙소(약 5~10분).</t>
        </is>
      </c>
      <c r="I9" s="5" t="inlineStr">
        <is>
          <t>10/1 추가
영업: 핫페퍼·타베로그 교차확인
예산은 계획용 추정</t>
        </is>
      </c>
      <c r="J9" s="31" t="inlineStr">
        <is>
          <t>지도 검색</t>
        </is>
      </c>
      <c r="K9" s="31" t="inlineStr">
        <is>
          <t>출처 보기</t>
        </is>
      </c>
      <c r="L9" s="31" t="inlineStr">
        <is>
          <t>대조 보기</t>
        </is>
      </c>
    </row>
    <row r="10" ht="142" customHeight="1">
      <c r="A10" s="15" t="n">
        <v>4</v>
      </c>
      <c r="B10" s="32" t="inlineStr">
        <is>
          <t>일정
10/3 점심</t>
        </is>
      </c>
      <c r="C10" s="33" t="inlineStr">
        <is>
          <t>마이센 아오야마 본점
とんかつ まい泉 青山本店
神宮前4-8-5
TEL 050-3188-5802</t>
        </is>
      </c>
      <c r="D10" s="15" t="inlineStr">
        <is>
          <t>히레카츠 또는 로스카츠 정식
메이지신궁 다음 오모테산도 방향에 있어 음식 때문에 멀리 돌아가지 않아도 됨.</t>
        </is>
      </c>
      <c r="E10" s="50" t="n">
        <v>2500</v>
      </c>
      <c r="F10" s="50" t="n">
        <v>3500</v>
      </c>
      <c r="G10" s="15" t="inlineStr">
        <is>
          <t>11:00~22:00 / 주문마감 21:00
토·일 일반 식사 예약 불가(연회 코스 제외). 10:45 도착, 11:00 식사 목표.</t>
        </is>
      </c>
      <c r="H10" s="15" t="inlineStr">
        <is>
          <t>기름진 음식 부담이 있으면 작은 정식으로. 점심 대기 30분 이상이면 주변 식사로 바꾸고 오후 일정을 지킴.</t>
        </is>
      </c>
      <c r="I10" s="15" t="inlineStr">
        <is>
          <t>기존 가이드 유지
영업·주말 예약 규정: 공식</t>
        </is>
      </c>
      <c r="J10" s="35" t="inlineStr">
        <is>
          <t>지도 검색</t>
        </is>
      </c>
      <c r="K10" s="35" t="inlineStr">
        <is>
          <t>출처 보기</t>
        </is>
      </c>
      <c r="L10" s="35" t="n"/>
    </row>
    <row r="11" ht="142" customHeight="1">
      <c r="A11" s="5" t="n">
        <v>5</v>
      </c>
      <c r="B11" s="28" t="inlineStr">
        <is>
          <t>보류
이번 일정 제외</t>
        </is>
      </c>
      <c r="C11" s="29" t="inlineStr">
        <is>
          <t>야키니쿠 폰가 에비스
焼肉ぽんが 恵比寿店
恵比寿西1-21-5 Sreed EBISU+t 2F
TEL 050-5447-8698</t>
        </is>
      </c>
      <c r="D11" s="5" t="inlineStr">
        <is>
          <t>네기탄·와규 구이
고기 좋아하는 가족의 마지막 밤 저녁. 1만 엔 코스 선택 시 서비스료를 별도로 계산.</t>
        </is>
      </c>
      <c r="E11" s="49" t="n">
        <v>12000</v>
      </c>
      <c r="F11" s="49" t="n">
        <v>14000</v>
      </c>
      <c r="G11" s="5" t="inlineStr">
        <is>
          <t>17:00~익일 03:00
10/4(일) 18:00 3명 예약 필요 / 미예약
예약 15분 지각 시 자동 취소 안내.</t>
        </is>
      </c>
      <c r="H11" s="5" t="inlineStr">
        <is>
          <t>공식 코스 10,000엔(세금 포함)+서비스 10%=11,000엔, 음료 별도. 생·덜 익힌 소고기/내장 메뉴 교체 가능 여부와 2F 엘리베이터를 예약 전 확인.</t>
        </is>
      </c>
      <c r="I11" s="5" t="inlineStr">
        <is>
          <t>원본 #243 / 250행
코스·서비스료: 공식
예산에는 소량 음료 여유 포함</t>
        </is>
      </c>
      <c r="J11" s="31" t="inlineStr">
        <is>
          <t>원본 지도</t>
        </is>
      </c>
      <c r="K11" s="31" t="inlineStr">
        <is>
          <t>출처 보기</t>
        </is>
      </c>
      <c r="L11" s="31" t="inlineStr">
        <is>
          <t>대조 보기</t>
        </is>
      </c>
    </row>
    <row r="12" ht="142" customHeight="1">
      <c r="A12" s="15" t="n">
        <v>6</v>
      </c>
      <c r="B12" s="32" t="inlineStr">
        <is>
          <t>일정
10/4 점심</t>
        </is>
      </c>
      <c r="C12" s="33" t="inlineStr">
        <is>
          <t>나미키 야부소바
並木藪蕎麦
雷門2-11-9
TEL 03-3841-1340</t>
        </is>
      </c>
      <c r="D12" s="15" t="inlineStr">
        <is>
          <t>자루소바 또는 덴푸라 소바
저녁 노게를 고려해 가벼운 점심으로 선택. 타베로그 소바 EAST 백명점 2025 선정 확인.</t>
        </is>
      </c>
      <c r="E12" s="50" t="n">
        <v>1500</v>
      </c>
      <c r="F12" s="50" t="n">
        <v>2500</v>
      </c>
      <c r="G12" s="15" t="inlineStr">
        <is>
          <t>11:00~19:30 / 주문마감 19:00
수·목 휴무 / 예약 불가
일요일 11:00 개점 방문 목표.</t>
        </is>
      </c>
      <c r="H12" s="15" t="inlineStr">
        <is>
          <t>메밀 알레르기가 있으면 제외. 소바만으로 부족하면 튀김을 곁들이되 점심을 과하게 늘리지 않음.</t>
        </is>
      </c>
      <c r="I12" s="15" t="inlineStr">
        <is>
          <t>원본 #168 / 175행
영업·선정 이력: 타베로그
공식 웹사이트 미확인</t>
        </is>
      </c>
      <c r="J12" s="35" t="inlineStr">
        <is>
          <t>원본 지도</t>
        </is>
      </c>
      <c r="K12" s="35" t="inlineStr">
        <is>
          <t>출처 보기</t>
        </is>
      </c>
      <c r="L12" s="35" t="n"/>
    </row>
    <row r="13" ht="142" customHeight="1">
      <c r="A13" s="5" t="n">
        <v>7</v>
      </c>
      <c r="B13" s="28" t="inlineStr">
        <is>
          <t>일정
10/3 저녁 · 예약 완료</t>
        </is>
      </c>
      <c r="C13" s="29" t="inlineStr">
        <is>
          <t>우나후지 도쿄 오페라시티점
炭焼 うな富士 東京オペラシティ店
西新宿3-20-2 東京オペラシティ53F
TEL 03-6457-5266</t>
        </is>
      </c>
      <c r="D13" s="5" t="inlineStr">
        <is>
          <t>상 히츠마부시
장어구이를 그대로, 약미와 함께, 육수에 말아 먹는 메뉴. 기존 희망 장소를 유지.</t>
        </is>
      </c>
      <c r="E13" s="49" t="n">
        <v>6500</v>
      </c>
      <c r="F13" s="49" t="n">
        <v>8500</v>
      </c>
      <c r="G13" s="5" t="inlineStr">
        <is>
          <t>저녁 17:00~22:00 / 주문마감 21:00
10/3(토) 17:00 예약 완료
부정기 휴무.</t>
        </is>
      </c>
      <c r="H13" s="5" t="inlineStr">
        <is>
          <t>개인실은 저녁 별도 3,000엔/120분 안내. 기본 예산은 일반석 기준. 창가·야경·좌석을 보장하지 않음. 하쓰다이역에서 53F 전용 승강기 이용.</t>
        </is>
      </c>
      <c r="I13" s="5" t="inlineStr">
        <is>
          <t>기존 가이드 유지
운영·개인실: 공식
상 히츠마부시 5,950엔: EAT도쿄</t>
        </is>
      </c>
      <c r="J13" s="31" t="inlineStr">
        <is>
          <t>지도 검색</t>
        </is>
      </c>
      <c r="K13" s="31" t="inlineStr">
        <is>
          <t>출처 보기</t>
        </is>
      </c>
      <c r="L13" s="31" t="inlineStr">
        <is>
          <t>대조 보기</t>
        </is>
      </c>
    </row>
    <row r="14" ht="142" customHeight="1">
      <c r="A14" s="15" t="n">
        <v>8</v>
      </c>
      <c r="B14" s="36" t="inlineStr">
        <is>
          <t>예비 간식
10/3 생략 가능</t>
        </is>
      </c>
      <c r="C14" s="33" t="inlineStr">
        <is>
          <t>나나야 아오야마
ななや 青山店
渋谷2-7-12</t>
        </is>
      </c>
      <c r="D14" s="15" t="inlineStr">
        <is>
          <t>말차 젤라토
중간 농도와 진한 농도를 비교. 가장 진한 맛이 반드시 모두에게 맞는 것은 아님.</t>
        </is>
      </c>
      <c r="E14" s="50" t="n">
        <v>600</v>
      </c>
      <c r="F14" s="50" t="n">
        <v>1000</v>
      </c>
      <c r="G14" s="15" t="inlineStr">
        <is>
          <t>11:00~19:00 / 화요일 휴무
정원 카페를 택한 기본안에는 넣지 않음. 네즈 방문을 빼는 경우에만 점심 뒤 선택.</t>
        </is>
      </c>
      <c r="H14" s="15" t="inlineStr">
        <is>
          <t>우유 성분·알레르기 확인. 카페 휴식 대신으로 계산하지 않음. 배가 부르면 생략.</t>
        </is>
      </c>
      <c r="I14" s="15" t="inlineStr">
        <is>
          <t>원본 #94 / 101행
운영: 공식 계정·시즈오카현 자료</t>
        </is>
      </c>
      <c r="J14" s="35" t="inlineStr">
        <is>
          <t>원본 지도</t>
        </is>
      </c>
      <c r="K14" s="35" t="inlineStr">
        <is>
          <t>출처 보기</t>
        </is>
      </c>
      <c r="L14" s="35" t="inlineStr">
        <is>
          <t>대조 보기</t>
        </is>
      </c>
    </row>
    <row r="15" ht="142" customHeight="1">
      <c r="A15" s="5" t="n">
        <v>9</v>
      </c>
      <c r="B15" s="37" t="inlineStr">
        <is>
          <t>선택 간식
10/4</t>
        </is>
      </c>
      <c r="C15" s="29" t="inlineStr">
        <is>
          <t>가메주
亀十
雷門2-18-11
TEL 03-3841-2210</t>
        </is>
      </c>
      <c r="D15" s="5" t="inlineStr">
        <is>
          <t>도라야키 포장
아사쿠사 점심 뒤 가족끼리 나눠 먹거나 숙소 간식으로.</t>
        </is>
      </c>
      <c r="E15" s="49" t="n">
        <v>500</v>
      </c>
      <c r="F15" s="49" t="n">
        <v>1000</v>
      </c>
      <c r="G15" s="5" t="inlineStr">
        <is>
          <t>10:00 개점 안내
점심 전후에만 방문 제안. 폐점·임시휴무는 당일 재확인.</t>
        </is>
      </c>
      <c r="H15" s="5" t="inlineStr">
        <is>
          <t>대기 15~20분이 넘으면 건너뜀. 포장 간식이며 앉아서 쉬는 장소로 배치하지 않음.</t>
        </is>
      </c>
      <c r="I15" s="5" t="inlineStr">
        <is>
          <t>원본 #179 / 186행
개점·상품: 아사쿠사 상점가
가격은 계획용 추정</t>
        </is>
      </c>
      <c r="J15" s="31" t="inlineStr">
        <is>
          <t>원본 지도</t>
        </is>
      </c>
      <c r="K15" s="31" t="inlineStr">
        <is>
          <t>출처 보기</t>
        </is>
      </c>
      <c r="L15" s="31" t="n"/>
    </row>
    <row r="16" ht="142" customHeight="1">
      <c r="A16" s="15" t="n">
        <v>10</v>
      </c>
      <c r="B16" s="36" t="inlineStr">
        <is>
          <t>보류
이번 일정 제외</t>
        </is>
      </c>
      <c r="C16" s="33" t="inlineStr">
        <is>
          <t>시세이도 팔러 긴자 살롱 드 카페
資生堂パーラー 銀座本店サロン・ド・カフェ 3F
銀座8-8-3 東京銀座資生堂ビル3F</t>
        </is>
      </c>
      <c r="D16" s="15" t="inlineStr">
        <is>
          <t>정규 딸기/초콜릿 파르페 또는 커피
정규 파르페 2,400엔, 커피 1,300엔 안내. 10월 한정 메뉴는 미확인.</t>
        </is>
      </c>
      <c r="E16" s="50" t="n">
        <v>1300</v>
      </c>
      <c r="F16" s="50" t="n">
        <v>3700</v>
      </c>
      <c r="G16" s="15" t="inlineStr">
        <is>
          <t>일요일 11:00~20:00 / 주문마감 19:30
예약 불가. 하마리큐를 생략하거나 우천일 때 14시 전후 대안.</t>
        </is>
      </c>
      <c r="H16" s="15" t="inlineStr">
        <is>
          <t>원본 #22의 4·5F 레스토랑과 다른 3F 카페. 대기가 20분을 넘으면 근처 빈자리 있는 카페로. 9월 포도 파르페를 10월 확정 메뉴로 넣지 않음.</t>
        </is>
      </c>
      <c r="I16" s="15" t="inlineStr">
        <is>
          <t>원본 #22 / 29행에서 파생
다른 층 매장 별도 확인
가격·예약: 공식</t>
        </is>
      </c>
      <c r="J16" s="35" t="inlineStr">
        <is>
          <t>지도 검색</t>
        </is>
      </c>
      <c r="K16" s="35" t="inlineStr">
        <is>
          <t>출처 보기</t>
        </is>
      </c>
      <c r="L16" s="35" t="n"/>
    </row>
    <row r="17" ht="142" customHeight="1">
      <c r="A17" s="5" t="n">
        <v>11</v>
      </c>
      <c r="B17" s="37" t="inlineStr">
        <is>
          <t>대안
10/1 저녁</t>
        </is>
      </c>
      <c r="C17" s="29" t="inlineStr">
        <is>
          <t>교자노 후쿠호 신주쿠점
餃子の福包 新宿店
新宿2-8-6 KDX新宿286ビル1F
TEL 03-5367-1582</t>
        </is>
      </c>
      <c r="D17" s="5" t="inlineStr">
        <is>
          <t>군만두·물만두·밥
라멘 대기가 길거나 부모님이 만두를 선호할 때. 마늘 없는 교자 선택 가능.</t>
        </is>
      </c>
      <c r="E17" s="49" t="n">
        <v>1500</v>
      </c>
      <c r="F17" s="49" t="n">
        <v>2500</v>
      </c>
      <c r="G17" s="5" t="inlineStr">
        <is>
          <t>평일 11:30~15:30 / 17:00~23:00
예약 불가. 저녁 주문마감 22:20 안내.</t>
        </is>
      </c>
      <c r="H17" s="5" t="inlineStr">
        <is>
          <t>같은 신주쿠의 GYO PAO(餃包)와 다른 가게. 관광 사이트 일부에 심야 영업 옛 정보가 있어 늦은 밤에는 전화 확인.</t>
        </is>
      </c>
      <c r="I17" s="5" t="inlineStr">
        <is>
          <t>원본 #157 / 164행
메뉴: 공식
영업: 타베로그·산토리 교차확인</t>
        </is>
      </c>
      <c r="J17" s="31" t="inlineStr">
        <is>
          <t>원본 지도</t>
        </is>
      </c>
      <c r="K17" s="31" t="inlineStr">
        <is>
          <t>출처 보기</t>
        </is>
      </c>
      <c r="L17" s="31" t="inlineStr">
        <is>
          <t>대조 보기</t>
        </is>
      </c>
    </row>
    <row r="18" ht="142" customHeight="1">
      <c r="A18" s="15" t="n">
        <v>12</v>
      </c>
      <c r="B18" s="36" t="inlineStr">
        <is>
          <t>보류
이번 일정 제외</t>
        </is>
      </c>
      <c r="C18" s="33" t="inlineStr">
        <is>
          <t>스시노 미도리 시부야점
梅丘寿司の美登利 渋谷店
道玄坂1-12-3 マークシティイースト4F
TEL 03-5458-0002</t>
        </is>
      </c>
      <c r="D18" s="15" t="inlineStr">
        <is>
          <t>니기리 모둠·계절 스시
폰가 예약이 안 되거나 고기보다 스시를 원할 때 10/4 저녁 대체.</t>
        </is>
      </c>
      <c r="E18" s="50" t="n">
        <v>3000</v>
      </c>
      <c r="F18" s="50" t="n">
        <v>5000</v>
      </c>
      <c r="G18" s="15" t="inlineStr">
        <is>
          <t>토·일 11:00~21:00 / 주문마감 20:30
공식 페이지 예약·대기 안내 확인 후 선택. 빈자리 미확인.</t>
        </is>
      </c>
      <c r="H18" s="15" t="inlineStr">
        <is>
          <t>폰가 예약이 안 될 때 에비스 그릇 가게 뒤 JR로 시부야까지 1정거장. 긴자 라이온과 둘 중 하나만 고르고 두 곳을 함께 예약하지 않음.</t>
        </is>
      </c>
      <c r="I18" s="15" t="inlineStr">
        <is>
          <t>기존 후보 유지
지점·영업·대기 방식: 공식
예산은 추정</t>
        </is>
      </c>
      <c r="J18" s="35" t="inlineStr">
        <is>
          <t>지도 검색</t>
        </is>
      </c>
      <c r="K18" s="35" t="inlineStr">
        <is>
          <t>출처 보기</t>
        </is>
      </c>
      <c r="L18" s="35" t="n"/>
    </row>
    <row r="19" ht="142" customHeight="1">
      <c r="A19" s="5" t="n">
        <v>13</v>
      </c>
      <c r="B19" s="37" t="inlineStr">
        <is>
          <t>대안
10/4 점심 교체</t>
        </is>
      </c>
      <c r="C19" s="29" t="inlineStr">
        <is>
          <t>이마한 별관
今半別館
浅草2-2-5
TEL 03-3841-2690</t>
        </is>
      </c>
      <c r="D19" s="5" t="inlineStr">
        <is>
          <t>스키야키
가벼운 소바보다 스키야키가 더 중요한 경우에만 선택. 같은 날 저녁 장어와 양·비용을 함께 조정.</t>
        </is>
      </c>
      <c r="E19" s="49" t="n">
        <v>12100</v>
      </c>
      <c r="F19" s="49" t="n">
        <v>15000</v>
      </c>
      <c r="G19" s="5" t="inlineStr">
        <is>
          <t>좌석 홀은 예약 불가. 방 예약은 지정 코스 조건. 임박 예약은 전화 문의. 영업시간·가용 좌석 재확인.</t>
        </is>
      </c>
      <c r="H19" s="5" t="inlineStr">
        <is>
          <t>원래 가이드의 浅草今半 国際通り本店과 다른 매장. 12,100엔은 별관 코토토이 코스 세금·서비스 포함 가격이며 최저 단품 가격이 아님.</t>
        </is>
      </c>
      <c r="I19" s="5" t="inlineStr">
        <is>
          <t>원본 #170 / 177행
별관 공식 요금·예약 규정
동명 다른 업체와 구분</t>
        </is>
      </c>
      <c r="J19" s="31" t="inlineStr">
        <is>
          <t>원본 지도</t>
        </is>
      </c>
      <c r="K19" s="31" t="inlineStr">
        <is>
          <t>출처 보기</t>
        </is>
      </c>
      <c r="L19" s="31" t="inlineStr">
        <is>
          <t>대조 보기</t>
        </is>
      </c>
    </row>
    <row r="20" ht="142" customHeight="1">
      <c r="A20" s="15" t="n">
        <v>14</v>
      </c>
      <c r="B20" s="36" t="inlineStr">
        <is>
          <t>보류
이번 일정 제외</t>
        </is>
      </c>
      <c r="C20" s="33" t="inlineStr">
        <is>
          <t>프레데릭 카셀 긴자 미쓰코시
フレデリック・カッセル 銀座三越店
銀座4-6-16 銀座三越B2F</t>
        </is>
      </c>
      <c r="D20" s="15" t="inlineStr">
        <is>
          <t>밀푀유 포장
시세이도 파르페 대신 제과류를 원할 때 선택. 디저트 두 곳을 필수로 채우지 않음.</t>
        </is>
      </c>
      <c r="E20" s="50" t="n">
        <v>1000</v>
      </c>
      <c r="F20" s="50" t="n">
        <v>1800</v>
      </c>
      <c r="G20" s="15" t="inlineStr">
        <is>
          <t>백화점 당일 영업·상품 재고 확인
오후 방문 후보, 특정 판매 시각 확정하지 않음.</t>
        </is>
      </c>
      <c r="H20" s="15" t="inlineStr">
        <is>
          <t>포장 매장. 휴식용 카페가 아님. 생과자 보관·운반 조건을 확인하고 바로 먹거나 숙소 복귀 전에 구입.</t>
        </is>
      </c>
      <c r="I20" s="15" t="inlineStr">
        <is>
          <t>원본 #32 / 39행
공식 브랜드·미쓰코시
보조 링크는 2024년 공지: 재고/판매시각 근거로 사용하지 않음</t>
        </is>
      </c>
      <c r="J20" s="35" t="inlineStr">
        <is>
          <t>원본 지도</t>
        </is>
      </c>
      <c r="K20" s="35" t="inlineStr">
        <is>
          <t>출처 보기</t>
        </is>
      </c>
      <c r="L20" s="35" t="inlineStr">
        <is>
          <t>대조 보기</t>
        </is>
      </c>
    </row>
    <row r="21" ht="142" customHeight="1">
      <c r="A21" s="40" t="n">
        <v>15</v>
      </c>
      <c r="B21" s="41" t="inlineStr">
        <is>
          <t>보류
영업 확인 후</t>
        </is>
      </c>
      <c r="C21" s="42" t="inlineStr">
        <is>
          <t>키리무기야 진로쿠 신주쿠교엔점
切麦や 甚六 新宿御苑店
新宿1-17-1 LAND・DENビル
TEL 03-6273-2646</t>
        </is>
      </c>
      <c r="D21" s="40" t="inlineStr">
        <is>
          <t>우동·덴푸라
숙소 인근 후보지만 목요일 저녁 운영정보가 상충해 도착일 일정에는 넣지 않음.</t>
        </is>
      </c>
      <c r="E21" s="51" t="n">
        <v>1500</v>
      </c>
      <c r="F21" s="51" t="n">
        <v>2500</v>
      </c>
      <c r="G21" s="40" t="inlineStr">
        <is>
          <t>공식 매장 페이지: 저녁 17:30~23:30
타베로그: 화·목·금 저녁 미운영
전화 확인 전 어느 쪽도 확정하지 않음.</t>
        </is>
      </c>
      <c r="H21" s="40" t="inlineStr">
        <is>
          <t>이름이 같은 다른 지점으로 바꾸지 않음. 10/1 저녁 이용 가능 여부를 확인한 경우에만 하야시다와 교체.</t>
        </is>
      </c>
      <c r="I21" s="40" t="inlineStr">
        <is>
          <t>원본 #153 / 160행
공식·타베로그 불일치 발견
당일 영업 미확인</t>
        </is>
      </c>
      <c r="J21" s="44" t="inlineStr">
        <is>
          <t>원본 지도</t>
        </is>
      </c>
      <c r="K21" s="44" t="inlineStr">
        <is>
          <t>출처 보기</t>
        </is>
      </c>
      <c r="L21" s="44" t="inlineStr">
        <is>
          <t>대조 보기</t>
        </is>
      </c>
    </row>
    <row r="22" ht="170" customHeight="1">
      <c r="A22" s="15" t="n">
        <v>16</v>
      </c>
      <c r="B22" s="32" t="inlineStr">
        <is>
          <t>교체 카페
카나데 대신</t>
        </is>
      </c>
      <c r="C22" s="33" t="inlineStr">
        <is>
          <t>네즈카페
NEZUCAFÉ / ネヅカフェ
港区南青山6-5-1 根津美術館内
TEL 03-3400-2536</t>
        </is>
      </c>
      <c r="D22" s="15" t="inlineStr">
        <is>
          <t>정원을 둘러싼 유리창과 녹음
미술관·정원과 함께 머물 때 추천. 커피 800엔, 케이크 800엔. 오후 카나데를 생각해 여기서는 음료만 마셔도 좋음.</t>
        </is>
      </c>
      <c r="E22" s="50" t="n">
        <v>800</v>
      </c>
      <c r="F22" s="50" t="n">
        <v>1700</v>
      </c>
      <c r="G22" s="15" t="inlineStr">
        <is>
          <t>10:00~16:30 / 음식 주문 15:00, 음료 16:00 마감
카페 예약 불가. 미술관 입장객만 이용. 10/5(월) 휴관.</t>
        </is>
      </c>
      <c r="H22" s="15" t="inlineStr">
        <is>
          <t>카나데 대신 선택. 미술관 성인 온라인 1,400엔 별도, 카페 예약 불가. 기본 합계에서 제외. 10/5 월요일 휴무. 미술관 표는 카페 좌석을 보장하지 않음.</t>
        </is>
      </c>
      <c r="I22" s="15" t="inlineStr">
        <is>
          <t>추가 카페 / 공식 카페·티켓
10/3은 8/15~10/12 전시 기간
E·F는 카페 비용만, 입장료 별도</t>
        </is>
      </c>
      <c r="J22" s="35" t="inlineStr">
        <is>
          <t>지도 검색</t>
        </is>
      </c>
      <c r="K22" s="35" t="inlineStr">
        <is>
          <t>출처 보기</t>
        </is>
      </c>
      <c r="L22" s="35" t="inlineStr">
        <is>
          <t>대조 보기</t>
        </is>
      </c>
    </row>
    <row r="23" ht="170" customHeight="1">
      <c r="A23" s="5" t="n">
        <v>17</v>
      </c>
      <c r="B23" s="28" t="inlineStr">
        <is>
          <t>주 카페
서부 일정일</t>
        </is>
      </c>
      <c r="C23" s="29" t="inlineStr">
        <is>
          <t>카나데 라운지
KANADE LOUNGE / カナデ ラウンジ
目黒区下目黒1-8-1 ホテル雅叙園東京1F
TEL 03-6417-0101</t>
        </is>
      </c>
      <c r="D23" s="5" t="inlineStr">
        <is>
          <t>높은 유리 천장·정원·폭포 전망
가족끼리 오래 앉아 쉬는 특별한 공간으로 최우선. 커피 1,600엔, 케이크 2,000엔. 차와 케이크는 약 4,100~4,200엔.</t>
        </is>
      </c>
      <c r="E23" s="49" t="n">
        <v>1600</v>
      </c>
      <c r="F23" s="49" t="n">
        <v>4200</v>
      </c>
      <c r="G23" s="5" t="inlineStr">
        <is>
          <t>10:30~22:30 / 주문마감 21:30
케이크 14:00~17:00
14:00 좌석만 예약 희망 / 빈자리 미확인</t>
        </is>
      </c>
      <c r="H23" s="5" t="inlineStr">
        <is>
          <t>기본 10/3 14:00~15:30, 가마쿠라를 10/3으로 바꾸면 10/2 방문. 날짜 변경 시 실제 예약도 별도 변경해야 함. 2시간 이용·10분 무연락 지각 시 취소 안내. 금액은 세금·서비스 15% 포함.</t>
        </is>
      </c>
      <c r="I23" s="5" t="inlineStr">
        <is>
          <t>공식 메뉴 PDF·예약 페이지 확인
좌석 가용 여부 미확인
계절 파르페의 10월 판매 미확인</t>
        </is>
      </c>
      <c r="J23" s="31" t="inlineStr">
        <is>
          <t>지도 검색</t>
        </is>
      </c>
      <c r="K23" s="31" t="inlineStr">
        <is>
          <t>출처 보기</t>
        </is>
      </c>
      <c r="L23" s="31" t="inlineStr">
        <is>
          <t>대조 보기</t>
        </is>
      </c>
    </row>
    <row r="24" ht="170" customHeight="1">
      <c r="A24" s="15" t="n">
        <v>18</v>
      </c>
      <c r="B24" s="32" t="inlineStr">
        <is>
          <t>보류
이번 일정 제외</t>
        </is>
      </c>
      <c r="C24" s="33" t="inlineStr">
        <is>
          <t>나카지마노 오차야
中島の御茶屋 / Nakajima-no-Ochaya
中央区浜離宮庭園1-1 浜離宮恩賜庭園内
TEL 03-3541-0200</t>
        </is>
      </c>
      <c r="D24" s="15" t="inlineStr">
        <is>
          <t>연못 한가운데서 말차·화과자
커피숍보다 일본 정원 다실에 가까움. 하마리큐 산책과 차 한 잔을 한 코스로 묶을 때 추천.</t>
        </is>
      </c>
      <c r="E24" s="50" t="n">
        <v>900</v>
      </c>
      <c r="F24" s="50" t="n">
        <v>1500</v>
      </c>
      <c r="G24" s="15" t="inlineStr">
        <is>
          <t>다실 9:00~16:45 / 주문마감 16:30
정원 9:00~17:00 / 입장마감 16:30
일반 방문 기준. 특정 다회 행사 예약 아님.</t>
        </is>
      </c>
      <c r="H24" s="15" t="inlineStr">
        <is>
          <t>정원 입장료 성인 300엔 별도(65세 이상 150엔, 증빙 필요). E·F는 현재 확정 메뉴값이 아닌 차·과자 예산 추정. 비·보행 부담 시 대체. 좌석 형태·단차는 방문 전 확인.</t>
        </is>
      </c>
      <c r="I24" s="15" t="inlineStr">
        <is>
          <t>추가 카페 / 도쿄도공원협회 공식
차·화과자 최신 가격 미확인
2026 대다회 10/31~11/1: 여행 기간 아님</t>
        </is>
      </c>
      <c r="J24" s="35" t="inlineStr">
        <is>
          <t>지도 검색</t>
        </is>
      </c>
      <c r="K24" s="35" t="inlineStr">
        <is>
          <t>출처 보기</t>
        </is>
      </c>
      <c r="L24" s="35" t="inlineStr">
        <is>
          <t>대조 보기</t>
        </is>
      </c>
    </row>
    <row r="25" ht="170" customHeight="1">
      <c r="A25" s="5" t="n">
        <v>19</v>
      </c>
      <c r="B25" s="37" t="inlineStr">
        <is>
          <t>교체 카페
10/3 대안</t>
        </is>
      </c>
      <c r="C25" s="29" t="inlineStr">
        <is>
          <t>사샤 카네타나카
茶洒 金田中 / Sahsya Kanetanaka
港区北青山3-6-1 オーク表参道2F
TEL 03-6450-5116</t>
        </is>
      </c>
      <c r="D25" s="5" t="inlineStr">
        <is>
          <t>이끼 정원·절제된 건축·일본식 디저트
와라비모치 1,650엔 안내. 차와 함께 2,000~3,500엔 계획. 호텔 라운지보다 미니멀한 공간을 원할 때.</t>
        </is>
      </c>
      <c r="E25" s="49" t="n">
        <v>2000</v>
      </c>
      <c r="F25" s="49" t="n">
        <v>3500</v>
      </c>
      <c r="G25" s="5" t="inlineStr">
        <is>
          <t>11:30~22:00 / 카페 14:00~주문마감 21:00
일반 카페 예약 불가. 예약 가능한 식사 코스와 혼동하지 않음.</t>
        </is>
      </c>
      <c r="H25" s="5" t="inlineStr">
        <is>
          <t>13세 미만 입장 불가 안내. 일반 카페는 예약 불가. 네즈·카나데 대신 14:00 방문 후 하쓰다이(우나후지)로 이동. 세 카페를 모두 넣지 않음. 서비스료 없음.</t>
        </is>
      </c>
      <c r="I25" s="5" t="inlineStr">
        <is>
          <t>추가 카페 / 매장 관리 공식 타베로그·구루나비
카페 EAST 백명점 2025
음료 포함 총액은 예산 추정</t>
        </is>
      </c>
      <c r="J25" s="31" t="inlineStr">
        <is>
          <t>지도 검색</t>
        </is>
      </c>
      <c r="K25" s="31" t="inlineStr">
        <is>
          <t>출처 보기</t>
        </is>
      </c>
      <c r="L25" s="31" t="inlineStr">
        <is>
          <t>대조 보기</t>
        </is>
      </c>
    </row>
    <row r="26" ht="170" customHeight="1">
      <c r="A26" s="15" t="n">
        <v>20</v>
      </c>
      <c r="B26" s="36" t="inlineStr">
        <is>
          <t>반일 교체
동선 별도</t>
        </is>
      </c>
      <c r="C26" s="33" t="inlineStr">
        <is>
          <t>오리엔토 카페
オリエント・カフェ / Orient Café
文京区本駒込2-28-21 東洋文庫内
TEL 03-3942-0400</t>
        </is>
      </c>
      <c r="D26" s="15" t="inlineStr">
        <is>
          <t>시볼트 정원·목재 테이블·고이와이 디저트
동양문고와 함께 보내는 한적한 반일 코스 후보. 치즈케이크·차 중심으로 계획.</t>
        </is>
      </c>
      <c r="E26" s="50" t="n">
        <v>1500</v>
      </c>
      <c r="F26" s="50" t="n">
        <v>2500</v>
      </c>
      <c r="G26" s="15" t="inlineStr">
        <is>
          <t>디저트 11:30~17:00
화요일·동양문고 휴관일 휴무
예약 페이지 있음. 카페 이용 예약 조건은 별도 문의.</t>
        </is>
      </c>
      <c r="H26" s="15" t="inlineStr">
        <is>
          <t>현재 일정에서 일부러 왕복하기엔 멂. 아사쿠사·하마리큐 반일을 대체하거나 다음 여행 후보. 모리슨 서고는 카페 내부가 아닌 별도 박물관. 카페만 이용 시 입장 조건 확인 필요.</t>
        </is>
      </c>
      <c r="I26" s="15" t="inlineStr">
        <is>
          <t>추가 카페 / 운영사·공식 예약
공식 공지의 10월 대관일은 7·17·18·24일
예산 추정, 당일 임시휴무 재확인</t>
        </is>
      </c>
      <c r="J26" s="35" t="inlineStr">
        <is>
          <t>지도 검색</t>
        </is>
      </c>
      <c r="K26" s="35" t="inlineStr">
        <is>
          <t>출처 보기</t>
        </is>
      </c>
      <c r="L26" s="35" t="inlineStr">
        <is>
          <t>대조 보기</t>
        </is>
      </c>
    </row>
    <row r="27" ht="170" customHeight="1">
      <c r="A27" s="5" t="n">
        <v>21</v>
      </c>
      <c r="B27" s="37" t="inlineStr">
        <is>
          <t>보류
이번 일정 제외</t>
        </is>
      </c>
      <c r="C27" s="29" t="inlineStr">
        <is>
          <t>카페 다이닝 사후
カフェダイニング 茶楓 / SAFU by Onko Chishin
港区虎ノ門4-1-35 菊池寛実記念 智美術館内
TEL 03-6453-0097</t>
        </is>
      </c>
      <c r="D27" s="5" t="inlineStr">
        <is>
          <t>정원을 바라보는 차분한 다이닝
호지차 시폰·키나코 크림 등 디저트와 차. 하마리큐를 걷기 어려운 비 오는 날 후보.</t>
        </is>
      </c>
      <c r="E27" s="49" t="n">
        <v>2000</v>
      </c>
      <c r="F27" s="49" t="n">
        <v>3500</v>
      </c>
      <c r="G27" s="5" t="inlineStr">
        <is>
          <t>11:00~18:00 / 월요일 휴무
디저트 카페 메뉴는 15:00~18:00(주문마감 17:30)
예약은 런치만, 카페 예약 불가.</t>
        </is>
      </c>
      <c r="H27" s="5" t="inlineStr">
        <is>
          <t>10/5(월)에는 넣지 않음. 일요일 대체안은 긴자 짧게 → 15:00~15:45 사후 → 에비스 저녁. 대기 있으면 가까운 카페로 변경. 단차·카페만 이용 시 입장 조건 확인 필요.</t>
        </is>
      </c>
      <c r="I27" s="5" t="inlineStr">
        <is>
          <t>추가 카페 / 공식 사이트·카페 메뉴
금액은 계획용 추정
11시 개점과 15시 디저트 시작 구분</t>
        </is>
      </c>
      <c r="J27" s="31" t="inlineStr">
        <is>
          <t>지도 검색</t>
        </is>
      </c>
      <c r="K27" s="31" t="inlineStr">
        <is>
          <t>출처 보기</t>
        </is>
      </c>
      <c r="L27" s="31" t="inlineStr">
        <is>
          <t>대조 보기</t>
        </is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36" customHeight="1">
      <c r="A29" s="6" t="inlineStr">
        <is>
          <t>추천 우선순위는 별점순이 아닙니다. 로바타의 계단, 폰가의 높은 비용, 카페의 입장권·무예약 조건도 함께 반영했습니다. 같은 이름의 다른 지점·다른 층으로 혼동하지 마세요.</t>
        </is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32" customHeight="1">
      <c r="A31" s="3" t="inlineStr">
        <is>
          <t>카나데 금액·서비스료 확인용 공식 메뉴 PDF / 하마리큐 대다회 2026 공식 일정: 이번 여행 기간과 다름</t>
        </is>
      </c>
      <c r="K31" s="22" t="inlineStr">
        <is>
          <t>메뉴 PDF</t>
        </is>
      </c>
      <c r="L31" s="22" t="inlineStr">
        <is>
          <t>행사 일정</t>
        </is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mergeCells count="6">
    <mergeCell ref="A2:L2"/>
    <mergeCell ref="A29:L29"/>
    <mergeCell ref="A31:J31"/>
    <mergeCell ref="A1:L1"/>
    <mergeCell ref="A3:L3"/>
    <mergeCell ref="A4:L4"/>
  </mergeCells>
  <hyperlinks>
    <hyperlink xmlns:r="http://schemas.openxmlformats.org/officeDocument/2006/relationships" ref="J7" display="원본 지도" r:id="rId1"/>
    <hyperlink xmlns:r="http://schemas.openxmlformats.org/officeDocument/2006/relationships" ref="K7" display="출처 보기" r:id="rId2"/>
    <hyperlink xmlns:r="http://schemas.openxmlformats.org/officeDocument/2006/relationships" ref="J8" display="지도 검색" r:id="rId3"/>
    <hyperlink xmlns:r="http://schemas.openxmlformats.org/officeDocument/2006/relationships" ref="K8" display="출처 보기" r:id="rId4"/>
    <hyperlink xmlns:r="http://schemas.openxmlformats.org/officeDocument/2006/relationships" ref="L8" display="대조 보기" r:id="rId5"/>
    <hyperlink xmlns:r="http://schemas.openxmlformats.org/officeDocument/2006/relationships" ref="J9" r:id="rId6"/>
    <hyperlink xmlns:r="http://schemas.openxmlformats.org/officeDocument/2006/relationships" ref="K9" r:id="rId7"/>
    <hyperlink xmlns:r="http://schemas.openxmlformats.org/officeDocument/2006/relationships" ref="L9" r:id="rId8"/>
    <hyperlink xmlns:r="http://schemas.openxmlformats.org/officeDocument/2006/relationships" ref="J10" display="지도 검색" r:id="rId9"/>
    <hyperlink xmlns:r="http://schemas.openxmlformats.org/officeDocument/2006/relationships" ref="K10" display="출처 보기" r:id="rId10"/>
    <hyperlink xmlns:r="http://schemas.openxmlformats.org/officeDocument/2006/relationships" ref="J11" display="원본 지도" r:id="rId11"/>
    <hyperlink xmlns:r="http://schemas.openxmlformats.org/officeDocument/2006/relationships" ref="K11" display="출처 보기" r:id="rId12"/>
    <hyperlink xmlns:r="http://schemas.openxmlformats.org/officeDocument/2006/relationships" ref="L11" display="대조 보기" r:id="rId13"/>
    <hyperlink xmlns:r="http://schemas.openxmlformats.org/officeDocument/2006/relationships" ref="J12" display="원본 지도" r:id="rId14"/>
    <hyperlink xmlns:r="http://schemas.openxmlformats.org/officeDocument/2006/relationships" ref="K12" display="출처 보기" r:id="rId15"/>
    <hyperlink xmlns:r="http://schemas.openxmlformats.org/officeDocument/2006/relationships" ref="J13" display="지도 검색" r:id="rId16"/>
    <hyperlink xmlns:r="http://schemas.openxmlformats.org/officeDocument/2006/relationships" ref="K13" display="출처 보기" r:id="rId17"/>
    <hyperlink xmlns:r="http://schemas.openxmlformats.org/officeDocument/2006/relationships" ref="L13" display="대조 보기" r:id="rId18"/>
    <hyperlink xmlns:r="http://schemas.openxmlformats.org/officeDocument/2006/relationships" ref="J14" display="원본 지도" r:id="rId19"/>
    <hyperlink xmlns:r="http://schemas.openxmlformats.org/officeDocument/2006/relationships" ref="K14" display="출처 보기" r:id="rId20"/>
    <hyperlink xmlns:r="http://schemas.openxmlformats.org/officeDocument/2006/relationships" ref="L14" display="대조 보기" r:id="rId21"/>
    <hyperlink xmlns:r="http://schemas.openxmlformats.org/officeDocument/2006/relationships" ref="J15" display="원본 지도" r:id="rId22"/>
    <hyperlink xmlns:r="http://schemas.openxmlformats.org/officeDocument/2006/relationships" ref="K15" display="출처 보기" r:id="rId23"/>
    <hyperlink xmlns:r="http://schemas.openxmlformats.org/officeDocument/2006/relationships" ref="J16" display="지도 검색" r:id="rId24"/>
    <hyperlink xmlns:r="http://schemas.openxmlformats.org/officeDocument/2006/relationships" ref="K16" display="출처 보기" r:id="rId25"/>
    <hyperlink xmlns:r="http://schemas.openxmlformats.org/officeDocument/2006/relationships" ref="J17" display="원본 지도" r:id="rId26"/>
    <hyperlink xmlns:r="http://schemas.openxmlformats.org/officeDocument/2006/relationships" ref="K17" display="출처 보기" r:id="rId27"/>
    <hyperlink xmlns:r="http://schemas.openxmlformats.org/officeDocument/2006/relationships" ref="L17" display="대조 보기" r:id="rId28"/>
    <hyperlink xmlns:r="http://schemas.openxmlformats.org/officeDocument/2006/relationships" ref="J18" display="지도 검색" r:id="rId29"/>
    <hyperlink xmlns:r="http://schemas.openxmlformats.org/officeDocument/2006/relationships" ref="K18" display="출처 보기" r:id="rId30"/>
    <hyperlink xmlns:r="http://schemas.openxmlformats.org/officeDocument/2006/relationships" ref="J19" display="원본 지도" r:id="rId31"/>
    <hyperlink xmlns:r="http://schemas.openxmlformats.org/officeDocument/2006/relationships" ref="K19" display="출처 보기" r:id="rId32"/>
    <hyperlink xmlns:r="http://schemas.openxmlformats.org/officeDocument/2006/relationships" ref="L19" display="대조 보기" r:id="rId33"/>
    <hyperlink xmlns:r="http://schemas.openxmlformats.org/officeDocument/2006/relationships" ref="J20" display="원본 지도" r:id="rId34"/>
    <hyperlink xmlns:r="http://schemas.openxmlformats.org/officeDocument/2006/relationships" ref="K20" display="출처 보기" r:id="rId35"/>
    <hyperlink xmlns:r="http://schemas.openxmlformats.org/officeDocument/2006/relationships" ref="L20" display="대조 보기" r:id="rId36"/>
    <hyperlink xmlns:r="http://schemas.openxmlformats.org/officeDocument/2006/relationships" ref="J21" display="원본 지도" r:id="rId37"/>
    <hyperlink xmlns:r="http://schemas.openxmlformats.org/officeDocument/2006/relationships" ref="K21" display="출처 보기" r:id="rId38"/>
    <hyperlink xmlns:r="http://schemas.openxmlformats.org/officeDocument/2006/relationships" ref="L21" display="대조 보기" r:id="rId39"/>
    <hyperlink xmlns:r="http://schemas.openxmlformats.org/officeDocument/2006/relationships" ref="J22" display="지도 검색" r:id="rId40"/>
    <hyperlink xmlns:r="http://schemas.openxmlformats.org/officeDocument/2006/relationships" ref="K22" display="출처 보기" r:id="rId41"/>
    <hyperlink xmlns:r="http://schemas.openxmlformats.org/officeDocument/2006/relationships" ref="L22" display="대조 보기" r:id="rId42"/>
    <hyperlink xmlns:r="http://schemas.openxmlformats.org/officeDocument/2006/relationships" ref="J23" display="지도 검색" r:id="rId43"/>
    <hyperlink xmlns:r="http://schemas.openxmlformats.org/officeDocument/2006/relationships" ref="K23" display="출처 보기" r:id="rId44"/>
    <hyperlink xmlns:r="http://schemas.openxmlformats.org/officeDocument/2006/relationships" ref="L23" display="대조 보기" r:id="rId45"/>
    <hyperlink xmlns:r="http://schemas.openxmlformats.org/officeDocument/2006/relationships" ref="J24" display="지도 검색" r:id="rId46"/>
    <hyperlink xmlns:r="http://schemas.openxmlformats.org/officeDocument/2006/relationships" ref="K24" display="출처 보기" r:id="rId47"/>
    <hyperlink xmlns:r="http://schemas.openxmlformats.org/officeDocument/2006/relationships" ref="L24" display="대조 보기" r:id="rId48"/>
    <hyperlink xmlns:r="http://schemas.openxmlformats.org/officeDocument/2006/relationships" ref="J25" display="지도 검색" r:id="rId49"/>
    <hyperlink xmlns:r="http://schemas.openxmlformats.org/officeDocument/2006/relationships" ref="K25" display="출처 보기" r:id="rId50"/>
    <hyperlink xmlns:r="http://schemas.openxmlformats.org/officeDocument/2006/relationships" ref="L25" display="대조 보기" r:id="rId51"/>
    <hyperlink xmlns:r="http://schemas.openxmlformats.org/officeDocument/2006/relationships" ref="J26" display="지도 검색" r:id="rId52"/>
    <hyperlink xmlns:r="http://schemas.openxmlformats.org/officeDocument/2006/relationships" ref="K26" display="출처 보기" r:id="rId53"/>
    <hyperlink xmlns:r="http://schemas.openxmlformats.org/officeDocument/2006/relationships" ref="L26" display="대조 보기" r:id="rId54"/>
    <hyperlink xmlns:r="http://schemas.openxmlformats.org/officeDocument/2006/relationships" ref="J27" display="지도 검색" r:id="rId55"/>
    <hyperlink xmlns:r="http://schemas.openxmlformats.org/officeDocument/2006/relationships" ref="K27" display="출처 보기" r:id="rId56"/>
    <hyperlink xmlns:r="http://schemas.openxmlformats.org/officeDocument/2006/relationships" ref="L27" display="대조 보기" r:id="rId57"/>
    <hyperlink xmlns:r="http://schemas.openxmlformats.org/officeDocument/2006/relationships" ref="K31" display="메뉴 PDF" r:id="rId58"/>
    <hyperlink xmlns:r="http://schemas.openxmlformats.org/officeDocument/2006/relationships" ref="L31" display="행사 일정" r:id="rId59"/>
  </hyperlinks>
  <pageMargins left="0.7" right="0.7" top="0.75" bottom="0.75" header="0.3" footer="0.3"/>
  <tableParts count="1">
    <tablePart xmlns:r="http://schemas.openxmlformats.org/officeDocument/2006/relationships" r:id="rId6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2026-10-01T00:24:27Z</dcterms:created>
  <dcterms:modified xsi:type="dcterms:W3CDTF">2026-10-01T09:51:17Z</dcterms:modified>
</cp:coreProperties>
</file>