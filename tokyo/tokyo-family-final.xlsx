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7%84%BC%E8%82%89%E3%81%86%E3%81%97%E3%81%94%E3%82%8D%20%E6%96%B0%E5%AE%BF%E4%B8%89%E4%B8%81%E7%9B%AE%E5%BA%97%20%E6%96%B0%E5%AE%BF3-17-10" TargetMode="External" Id="rId1" /><Relationship Type="http://schemas.openxmlformats.org/officeDocument/2006/relationships/hyperlink" Target="https://ushigoro.com/shop/shinjuku-3chome/" TargetMode="External" Id="rId2" /><Relationship Type="http://schemas.openxmlformats.org/officeDocument/2006/relationships/hyperlink" Target="https://tabelog.com/tokyo/A1304/A130401/13258565/" TargetMode="External" Id="rId3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4" /><Relationship Type="http://schemas.openxmlformats.org/officeDocument/2006/relationships/hyperlink" Target="https://www.trip-kamakura.com/stay-gurume/detail.php?business_type=gourmet&amp;id=31" TargetMode="External" Id="rId5" /><Relationship Type="http://schemas.openxmlformats.org/officeDocument/2006/relationships/hyperlink" Target="https://tabelog.com/kanagawa/A1404/A140402/14003222/" TargetMode="External" Id="rId6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7" /><Relationship Type="http://schemas.openxmlformats.org/officeDocument/2006/relationships/hyperlink" Target="https://tabelog.com/tokyo/A1304/A130401/13000859/" TargetMode="External" Id="rId8" /><Relationship Type="http://schemas.openxmlformats.org/officeDocument/2006/relationships/hyperlink" Target="https://www.hotpepper.jp/strJ003942175/" TargetMode="External" Id="rId9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10" /><Relationship Type="http://schemas.openxmlformats.org/officeDocument/2006/relationships/hyperlink" Target="https://mai-sen.com/restaurant/aoyama/" TargetMode="External" Id="rId11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2" /><Relationship Type="http://schemas.openxmlformats.org/officeDocument/2006/relationships/hyperlink" Target="https://yakiniku-ponga.com/ebisu/course/" TargetMode="External" Id="rId13" /><Relationship Type="http://schemas.openxmlformats.org/officeDocument/2006/relationships/hyperlink" Target="https://yakiniku-ponga.com/ebisu/" TargetMode="External" Id="rId14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5" /><Relationship Type="http://schemas.openxmlformats.org/officeDocument/2006/relationships/hyperlink" Target="https://tabelog.com/tokyo/A1311/A131102/13003650/" TargetMode="External" Id="rId16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7" /><Relationship Type="http://schemas.openxmlformats.org/officeDocument/2006/relationships/hyperlink" Target="https://sumiyaki-unafuji.com/shops/tokyo_opera_city/" TargetMode="External" Id="rId18" /><Relationship Type="http://schemas.openxmlformats.org/officeDocument/2006/relationships/hyperlink" Target="https://menu-tokyo.jp/search/detail.php?lang=jp&amp;lat=35.68300241&amp;lng=139.68675578&amp;shop_id=2600117" TargetMode="External" Id="rId19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20" /><Relationship Type="http://schemas.openxmlformats.org/officeDocument/2006/relationships/hyperlink" Target="https://x.com/nanaya_aoyama/with_replies" TargetMode="External" Id="rId21" /><Relationship Type="http://schemas.openxmlformats.org/officeDocument/2006/relationships/hyperlink" Target="https://www.pref.shizuoka.jp/_res/projects/default_project/_page_/001/080/309/nanaya.pdf" TargetMode="External" Id="rId22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3" /><Relationship Type="http://schemas.openxmlformats.org/officeDocument/2006/relationships/hyperlink" Target="https://asakusanioideyo.com/07/200/" TargetMode="External" Id="rId24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5" /><Relationship Type="http://schemas.openxmlformats.org/officeDocument/2006/relationships/hyperlink" Target="https://parlour.shiseido.co.jp/shoplist/salondecafeginza/" TargetMode="External" Id="rId26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7" /><Relationship Type="http://schemas.openxmlformats.org/officeDocument/2006/relationships/hyperlink" Target="https://fukuho.net/" TargetMode="External" Id="rId28" /><Relationship Type="http://schemas.openxmlformats.org/officeDocument/2006/relationships/hyperlink" Target="https://tabelog.com/tokyo/A1304/A130402/13050544/" TargetMode="External" Id="rId29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30" /><Relationship Type="http://schemas.openxmlformats.org/officeDocument/2006/relationships/hyperlink" Target="https://www.sushinomidori.co.jp/shops/shibuya/" TargetMode="External" Id="rId31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2" /><Relationship Type="http://schemas.openxmlformats.org/officeDocument/2006/relationships/hyperlink" Target="https://www.asakusa-imahan.co.jp/" TargetMode="External" Id="rId33" /><Relationship Type="http://schemas.openxmlformats.org/officeDocument/2006/relationships/hyperlink" Target="https://www.asakusa-imahan.co.jp/reservation/" TargetMode="External" Id="rId34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5" /><Relationship Type="http://schemas.openxmlformats.org/officeDocument/2006/relationships/hyperlink" Target="https://www.frederic-cassel.jp/" TargetMode="External" Id="rId36" /><Relationship Type="http://schemas.openxmlformats.org/officeDocument/2006/relationships/hyperlink" Target="https://www.mistore.jp/store/ginza/shops/foods/foodgarden/shopnews_list/shopnews00761.html" TargetMode="External" Id="rId37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8" /><Relationship Type="http://schemas.openxmlformats.org/officeDocument/2006/relationships/hyperlink" Target="https://r.goope.jp/jinroku-gyoen/free/shop-gyoen" TargetMode="External" Id="rId39" /><Relationship Type="http://schemas.openxmlformats.org/officeDocument/2006/relationships/hyperlink" Target="https://tabelog.com/tokyo/A1304/A130402/13182646/dtlmenu/" TargetMode="External" Id="rId40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1" /><Relationship Type="http://schemas.openxmlformats.org/officeDocument/2006/relationships/hyperlink" Target="https://www.nezu-muse.or.jp/jp/visit/cafe/" TargetMode="External" Id="rId42" /><Relationship Type="http://schemas.openxmlformats.org/officeDocument/2006/relationships/hyperlink" Target="https://www.e-tix.jp/nezu-muse/en/" TargetMode="External" Id="rId43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4" /><Relationship Type="http://schemas.openxmlformats.org/officeDocument/2006/relationships/hyperlink" Target="https://gajoen-tokyo.hiltonjapan.co.jp/restaurants/kanade-lounge" TargetMode="External" Id="rId45" /><Relationship Type="http://schemas.openxmlformats.org/officeDocument/2006/relationships/hyperlink" Target="https://www.tablecheck.com/ja/shops/gajoentokyo-kanadelounge/reserve" TargetMode="External" Id="rId46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7" /><Relationship Type="http://schemas.openxmlformats.org/officeDocument/2006/relationships/hyperlink" Target="https://www.tokyo-park.or.jp/park/hama-rikyu/facility/index.html" TargetMode="External" Id="rId48" /><Relationship Type="http://schemas.openxmlformats.org/officeDocument/2006/relationships/hyperlink" Target="https://www.tokyo-park.or.jp/park/hama-rikyu/" TargetMode="External" Id="rId49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50" /><Relationship Type="http://schemas.openxmlformats.org/officeDocument/2006/relationships/hyperlink" Target="https://tabelog.com/tokyo/A1306/A130602/13154538/" TargetMode="External" Id="rId51" /><Relationship Type="http://schemas.openxmlformats.org/officeDocument/2006/relationships/hyperlink" Target="https://g080507.gorp.jp/" TargetMode="External" Id="rId52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3" /><Relationship Type="http://schemas.openxmlformats.org/officeDocument/2006/relationships/hyperlink" Target="https://www.koiwaifarmdining.co.jp/brands/orientcafe/" TargetMode="External" Id="rId54" /><Relationship Type="http://schemas.openxmlformats.org/officeDocument/2006/relationships/hyperlink" Target="https://www.tablecheck.com/ja/shops/orientcafe/reserve" TargetMode="External" Id="rId55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6" /><Relationship Type="http://schemas.openxmlformats.org/officeDocument/2006/relationships/hyperlink" Target="https://safu.by-onko-chishin.com/" TargetMode="External" Id="rId57" /><Relationship Type="http://schemas.openxmlformats.org/officeDocument/2006/relationships/hyperlink" Target="https://safu.by-onko-chishin.com/wp-content/uploads/2026/07/cafe-menu.pdf" TargetMode="External" Id="rId58" /><Relationship Type="http://schemas.openxmlformats.org/officeDocument/2006/relationships/hyperlink" Target="https://cms.hiltonjapan.co.jp/wp-content/uploads/sites/9/2026/08/31110039/0828%E3%83%A9%E3%82%A6%E3%83%B3%E3%82%B8-.pdf" TargetMode="External" Id="rId59" /><Relationship Type="http://schemas.openxmlformats.org/officeDocument/2006/relationships/hyperlink" Target="https://www.metro.tokyo.lg.jp/information/press/2026/08/2026082022" TargetMode="External" Id="rId60" /><Relationship Type="http://schemas.openxmlformats.org/officeDocument/2006/relationships/table" Target="/xl/tables/table1.xml" Id="rId61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10/2 수정 · 시부야 스카이 제외</t>
        </is>
      </c>
    </row>
    <row r="3" ht="34" customHeight="1">
      <c r="A3" s="6" t="inlineStr">
        <is>
          <t>10/2 수정안: 시각은 목표입니다. 확정 예약은 우나후지 10/3(토) 17:00 한 곳. 10/2 비로 가마쿠라는 10/3(토) 아침으로 확정했고, 10/2는 에비스 그릇 가게와 엄마 신발 쇼핑입니다. 저녁(10/2 신발·츠나하치, 10/3 우나후지)은 그대로입니다.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카페는 이번 일정에서 선택입니다. 카나데(메구로, 에비스에서 JR 한 정거장)는 쉬어 가고 싶을 때만, 네즈·사샤는 교체 후보입니다. 하마리큐 다실·사후는 10/4가 요코하마 저녁으로 바뀌어 넣지 않았습니다.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고기 저녁(신주쿠산초메)
① 야키니쿠 우시고로 (L.O. 22:30, 03-3358-4129)
② 에이징 비프 (L.O. 22:00, 03-6273-2985)</t>
        </is>
      </c>
      <c r="E8" s="5" t="inlineStr">
        <is>
          <t>이날은 관광·술자리 추가 없음
숙소 복귀와 수면 우선</t>
        </is>
      </c>
      <c r="F8" s="5" t="inlineStr">
        <is>
          <t>가족 목표 3명 10~15만 원(약 11,400~17,400엔)
단품 약 15,000엔 · 코스+음료 약 21,000엔
늦거나 피곤하면 하야시다 라멘</t>
        </is>
      </c>
    </row>
    <row r="9" ht="150" customHeight="1">
      <c r="A9" s="46" t="n">
        <v>46297</v>
      </c>
      <c r="B9" s="15" t="inlineStr">
        <is>
          <t>금요일 · 비 오는 날 쇼핑 (가마쿠라는 10/3으로)
11:00 마이센 아오야마 점심
12:30 택시로 에비스(약 10분)
12:45 EAST table 에비스점(미노야키 그릇)
13:45 THE HARVEST KITCHEN GENERAL STORE
14:45 숙소에 짐 두고 쉬기 → 15:40 출발</t>
        </is>
      </c>
      <c r="C9" s="15" t="inlineStr">
        <is>
          <t>11:00 마이센 아오야마 본점
돈가스 정식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그릇 가게 두 곳: 11:00~20:00 / 11:00~19:00, 정기 휴무 없음
여권 지참(면세 가능 여부는 계산 때 확인)
그릇은 옷으로 감싸 기내 가방에
14:45~15:40 숙소 휴식</t>
        </is>
      </c>
      <c r="F9" s="15" t="inlineStr">
        <is>
          <t>비가 세면 가게 사이도 택시로
피곤하면 THE HARVEST 생략
신발 재고는 미리 전화(03-5325-0722)
없으면 도부 이케부쿠로 2F(03-5951-6599)
저녁 일정은 그대로</t>
        </is>
      </c>
    </row>
    <row r="10" ht="150" customHeight="1">
      <c r="A10" s="45" t="n">
        <v>46298</v>
      </c>
      <c r="B10" s="5" t="inlineStr">
        <is>
          <t>토요일 · 가마쿠라 (아침 일찍, 10/2 비로 옮김)
07:00 숙소 출발 → 07:30 신주쿠(쇼난신주쿠라인 즈시행)
08:40 대불 또는 하세데라 → 09:50 고마치도리·하치만구
12:30 가마쿠라 출발 → 13:45 숙소에서 쉬기
15:40 숙소 출발 → 16:00 하쓰다이</t>
        </is>
      </c>
      <c r="C10" s="5" t="inlineStr">
        <is>
          <t>11:10 가마쿠라 아키모토
시라스·현지 채소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대불 또는 하세데라 중 1곳(다리가 괜찮으면 둘 다)
하치만구 본궁 계단(약 60단)이 힘들면 아래에서 참배
13:45~15:40 숙소 휴식</t>
        </is>
      </c>
      <c r="F10" s="5" t="inlineStr">
        <is>
          <t>토요일이라 붐비니 07:00 출발을 지킴
생시라스 미입고 → 익힌 시라스
비가 오면 대불 한 곳만 보고 점심 뒤 귀가
우나후지 17:00은 그대로</t>
        </is>
      </c>
    </row>
    <row r="11" ht="150" customHeight="1">
      <c r="A11" s="46" t="n">
        <v>46299</v>
      </c>
      <c r="B11" s="15" t="inlineStr">
        <is>
          <t>일요일 · 아사쿠사 → 요코하마의 밤
09:30 아사쿠사 → 12:30 아키하바라 가이요도 하비로비
13:30 숙소에서 쉬기 → 15:45 요코하마로
16:45 에어 캐빈(해 지는 시각 17:23)</t>
        </is>
      </c>
      <c r="C11" s="15" t="inlineStr">
        <is>
          <t>11:00 나미키 야부소바
소바·튀김
저녁 노게를 위해 가볍게</t>
        </is>
      </c>
      <c r="D11" s="15" t="inlineStr">
        <is>
          <t>18:00 요코하마 노게 저녁
노게노 다이도코로 파오시티(97석, 일 12~23시)
핫페퍼 예약 권장 · 안 되면 피오시티 지하 2층
19:45 출발, 21:00경 숙소</t>
        </is>
      </c>
      <c r="E11" s="15" t="inlineStr">
        <is>
          <t>13:30~15:30 숙소 휴식
에어 캐빈 왕복 1,800엔(성인)
운하파크에서 미나토미라이 야경</t>
        </is>
      </c>
      <c r="F11" s="15" t="inlineStr">
        <is>
          <t>아키하바라 가게는 실내라 비가 와도 그대로
강풍으로 에어 캐빈이 멈추면 역 앞에서 야경만
피곤하면 요코하마를 빼고 숙소 근처에서 저녁
폰가·에비스·긴자는 이번 일정에서 제외</t>
        </is>
      </c>
    </row>
    <row r="12" ht="150" customHeight="1">
      <c r="A12" s="45" t="n">
        <v>46300</v>
      </c>
      <c r="B12" s="5" t="inlineStr">
        <is>
          <t>월요일 · 귀국
09:30 짐 정리·체크아웃 준비
10:20 숙소 출발(택시) → 신주쿠역
11:08 N'EX 21호 → 공항제2빌딩 12:27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N'EX 21호(신주쿠 11:08 → 공항제2빌딩 12:27, 평일 시각)
대안: 11:38 발 23호(12:54) · 10:38 발 19호(11:53)
제3터미널은 역에서 걸어서 약 15분, 12:45경 도착
ZE610 16:20 · 10/5는 한국 대체공휴일이라 붐빔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날짜 확정(10/2 아침): 비 때문에 가마쿠라를 10/3(토)로 옮기고 10/2를 쇼핑 날로 바꿨습니다. 저녁은 그대로: 10/2 엄마 신발(오다큐)·츠나하치·개인 약속, 10/3 우나후지 17:00 예약. 요코하마는 10/4 저녁.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고기 저녁 (우시고로 또는 에이징 비프)</t>
        </is>
      </c>
      <c r="C19" s="47">
        <f>'맛집 상세'!E7</f>
        <v>5000</v>
      </c>
      <c r="D19" s="47">
        <f>'맛집 상세'!F7</f>
        <v>7000</v>
      </c>
      <c r="E19" s="47">
        <f>C19*$B$17</f>
        <v>15000</v>
      </c>
      <c r="F19" s="47">
        <f>D19*$B$17</f>
        <v>21000</v>
      </c>
    </row>
    <row r="20" ht="30" customHeight="1">
      <c r="A20" s="3" t="inlineStr">
        <is>
          <t>10/2 점심</t>
        </is>
      </c>
      <c r="B20" s="3" t="inlineStr">
        <is>
          <t>마이센 아오야마 본점 (쇼핑 날)</t>
        </is>
      </c>
      <c r="C20" s="47">
        <f>'맛집 상세'!E10</f>
        <v>2500</v>
      </c>
      <c r="D20" s="47">
        <f>'맛집 상세'!F10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가마쿠라 아키모토</t>
        </is>
      </c>
      <c r="C22" s="47">
        <f>'맛집 상세'!E8</f>
        <v>2500</v>
      </c>
      <c r="D22" s="47">
        <f>'맛집 상세'!F8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요코하마 노게 저녁 (파오시티 등, 예약 권장)</t>
        </is>
      </c>
      <c r="C25" s="47" t="n">
        <v>3000</v>
      </c>
      <c r="D25" s="47" t="n">
        <v>5000</v>
      </c>
      <c r="E25" s="47">
        <f>C25*$B$17</f>
        <v>9000</v>
      </c>
      <c r="F25" s="47">
        <f>D25*$B$17</f>
        <v>15000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 (선택 · 상한만)</t>
        </is>
      </c>
      <c r="C28" s="47" t="n">
        <v>0</v>
      </c>
      <c r="D28" s="47">
        <f>'맛집 상세'!F23</f>
        <v>4200</v>
      </c>
      <c r="E28" s="47">
        <f>C28*$B$17</f>
        <v>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 (이번 일정 제외)</t>
        </is>
      </c>
      <c r="C30" s="47" t="n">
        <v>0</v>
      </c>
      <c r="D30" s="47" t="n">
        <v>0</v>
      </c>
      <c r="E30" s="47">
        <f>C30*$B$17</f>
        <v>0</v>
      </c>
      <c r="F30" s="47">
        <f>D30*$B$17</f>
        <v>0</v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>3000</v>
      </c>
      <c r="F31" s="47">
        <f>D31*$B$17</f>
        <v>6000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30000</v>
      </c>
      <c r="D32" s="48">
        <f>SUM(D19:D31)</f>
        <v>46700</v>
      </c>
      <c r="E32" s="48">
        <f>SUM(E19:E31)</f>
        <v>90000</v>
      </c>
      <c r="F32" s="48">
        <f>SUM(F19:F31)</f>
        <v>140100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요코하마 에어 캐빈 왕복 / 성인</t>
        </is>
      </c>
      <c r="C35" s="47" t="n">
        <v>1800</v>
      </c>
      <c r="D35" s="47" t="n">
        <v>1800</v>
      </c>
      <c r="E35" s="47">
        <f>C35*$B$17</f>
        <v>5400</v>
      </c>
      <c r="F35" s="47">
        <f>D35*$B$17</f>
        <v>5400</v>
      </c>
    </row>
    <row r="36" ht="34" customHeight="1">
      <c r="A36" s="10" t="inlineStr">
        <is>
          <t>입장 소계</t>
        </is>
      </c>
      <c r="B36" s="10" t="inlineStr">
        <is>
          <t>에어 캐빈 왕복만(대불·하세데라 입장료 별도)</t>
        </is>
      </c>
      <c r="C36" s="48">
        <f>SUM(C34:C35)</f>
        <v>1800</v>
      </c>
      <c r="D36" s="48">
        <f>SUM(D34:D35)</f>
        <v>1800</v>
      </c>
      <c r="E36" s="48">
        <f>SUM(E34:E35)</f>
        <v>5400</v>
      </c>
      <c r="F36" s="48">
        <f>SUM(F34:F35)</f>
        <v>5400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31800</v>
      </c>
      <c r="D37" s="48">
        <f>D32+D36</f>
        <v>48500</v>
      </c>
      <c r="E37" s="48">
        <f>E32+E36</f>
        <v>95400</v>
      </c>
      <c r="F37" s="48">
        <f>F32+F36</f>
        <v>145500</v>
      </c>
    </row>
    <row r="38" ht="44" customHeight="1">
      <c r="A38" s="6" t="inlineStr">
        <is>
          <t>카나데는 세금·서비스 15% 포함. 네즈 선택 시 카나데를 빼고 네즈 음료 800~1,700엔+입장 1,400엔/인을 더합니다. 총계는 항공·숙박·교통·쇼핑·기타 관광 입장료(대불 300엔·하세데라 400엔 등)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노게노 다이도코로 파오시티</t>
        </is>
      </c>
      <c r="C43" s="3" t="inlineStr">
        <is>
          <t>10/4(일) 18:00</t>
        </is>
      </c>
      <c r="D43" s="3" t="inlineStr">
        <is>
          <t>성인 3명 테이블 · 핫페퍼 온라인 예약</t>
        </is>
      </c>
      <c r="E43" s="3" t="inlineStr">
        <is>
          <t>미예약 · 예약 권장</t>
        </is>
      </c>
      <c r="F43" s="3" t="inlineStr">
        <is>
          <t>일요일 저녁이라 붐빌 수 있음. 안 되면 사쿠라기초역과 바로 이어진 피오시티 지하 2층 선술집 거리에서 빈자리.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선택 (10/2 쇼핑 날)</t>
        </is>
      </c>
      <c r="D45" s="3" t="inlineStr">
        <is>
          <t>좌석만 성인 3명 / 시간·취소 규정</t>
        </is>
      </c>
      <c r="E45" s="3" t="inlineStr">
        <is>
          <t>이번 일정에서 빠짐 · 선택</t>
        </is>
      </c>
      <c r="F45" s="3" t="inlineStr">
        <is>
          <t>10/2를 쇼핑 날로 바꾸며 뺐음. 좌석을 예약했다면 취소. 쉬어 가고 싶을 때만(에비스에서 JR 한 정거장).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10/1 교환 때</t>
        </is>
      </c>
      <c r="D47" s="3" t="inlineStr">
        <is>
          <t>10/5 N'EX 21호(신주쿠 11:08) 3명 지정석</t>
        </is>
      </c>
      <c r="E47" s="3" t="inlineStr">
        <is>
          <t>바우처 교환 시 지정</t>
        </is>
      </c>
      <c r="F47" s="3" t="inlineStr">
        <is>
          <t>지정석 표의 시각이 우선. 21호가 안 되면 23호(11:38) 또는 19호(10:38).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10/2 수정안은 웹·캘린더와 같은 최종 동선입니다.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오차야(하마리큐). 10/4가 요코하마 저녁으로 바뀌어 이번 일정에는 넣지 않았습니다. 다음 기회 후보.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야키니쿠 우시고로 신주쿠산초메점
焼肉うしごろ 新宿三丁目店
新宿3-17-10 HULIC &amp;New SHINJUKU 12F
TEL 03-3358-4129
(대안) 에이징 비프 TOKYO 신주쿠산초메점
新宿3-5-4 6F · TEL 03-6273-2985</t>
        </is>
      </c>
      <c r="D7" s="5" t="inlineStr">
        <is>
          <t>흑우 혀(구로탄)·하라미 · 타베로그 3.67, 야키니쿠 백명점 2025
단품 예시(3명): 혀 1,600×2 + 하라미 2,200×2 + 우치모모 1,800×2 + 김치 모둠 880 = 약 12,100엔, 밥·음료 포함 약 15,000엔</t>
        </is>
      </c>
      <c r="E7" s="49" t="n">
        <v>5000</v>
      </c>
      <c r="F7" s="49" t="n">
        <v>7000</v>
      </c>
      <c r="G7" s="5" t="inlineStr">
        <is>
          <t>우시고로 17:00~23:30 (L.O. 22:30)
에이징 비프 17:00~23:00 (L.O. 22:00)
예약 완료 아님 · N’EX 안에서 전화로 확인</t>
        </is>
      </c>
      <c r="H7" s="5" t="inlineStr">
        <is>
          <t>가족 목표 3명 10~15만 원(약 11,400~17,400엔). 코스(1인 6,100엔~, 3명 18,300엔)와 에이징 비프(1인 평균 약 6,200엔)는 상한을 조금 넘음. 메뉴판 가격에 세금·서비스료가 따로 붙을 수 있음. 늦거나 피곤하면 하야시다 라멘(1인 1,500~2,000엔, 新宿3-31-5).</t>
        </is>
      </c>
      <c r="I7" s="5" t="inlineStr">
        <is>
          <t>공식 매장 페이지 · 타베로그 · 一休 코스 · 메뉴 가격 (10/1 확인)</t>
        </is>
      </c>
      <c r="J7" s="31" t="inlineStr">
        <is>
          <t>지도 검색</t>
        </is>
      </c>
      <c r="K7" s="31" t="inlineStr">
        <is>
          <t>출처 보기</t>
        </is>
      </c>
      <c r="L7" s="35" t="inlineStr">
        <is>
          <t>대조 보기</t>
        </is>
      </c>
    </row>
    <row r="8" ht="142" customHeight="1">
      <c r="A8" s="15" t="n">
        <v>2</v>
      </c>
      <c r="B8" s="32" t="inlineStr">
        <is>
          <t>일정
10/3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토요일 10:45 도착 목표(주말 대기 가능).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10/2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쇼핑 날 점심. 숙소에서 택시로 약 15분, 이후 택시로 에비스(약 10분).</t>
        </is>
      </c>
      <c r="E10" s="50" t="n">
        <v>2500</v>
      </c>
      <c r="F10" s="50" t="n">
        <v>3500</v>
      </c>
      <c r="G10" s="15" t="inlineStr">
        <is>
          <t>11:00~22:00 / 주문마감 21:00
금요일 11:00 오픈에 맞춰 도착 목표. 토·일 일반 식사 예약 불가(연회 코스 제외).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보류
이번 일정 제외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노게를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보류
이번 일정 제외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고기 저녁 자리가 없거나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보류
이번 일정 제외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보류
이번 일정 제외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고기 저녁 대신 고려.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선택 카페
쉬어 가고 싶을 때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일정에 없음 · 예약 없이 선택 방문</t>
        </is>
      </c>
      <c r="H23" s="5" t="inlineStr">
        <is>
          <t>10/2를 쇼핑 날로 바꾸며 일정에서 뺐습니다. 에비스에서 JR 한 정거장(메구로)이라 쉬어 가고 싶을 때만. 좌석을 예약했다면 날짜·취소를 확인.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보류
이번 일정 제외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보류
이번 일정 제외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r:id="rId1"/>
    <hyperlink xmlns:r="http://schemas.openxmlformats.org/officeDocument/2006/relationships" ref="K7" r:id="rId2"/>
    <hyperlink xmlns:r="http://schemas.openxmlformats.org/officeDocument/2006/relationships" ref="L7" r:id="rId3"/>
    <hyperlink xmlns:r="http://schemas.openxmlformats.org/officeDocument/2006/relationships" ref="J8" display="지도 검색" r:id="rId4"/>
    <hyperlink xmlns:r="http://schemas.openxmlformats.org/officeDocument/2006/relationships" ref="K8" display="출처 보기" r:id="rId5"/>
    <hyperlink xmlns:r="http://schemas.openxmlformats.org/officeDocument/2006/relationships" ref="L8" display="대조 보기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L9" r:id="rId9"/>
    <hyperlink xmlns:r="http://schemas.openxmlformats.org/officeDocument/2006/relationships" ref="J10" display="지도 검색" r:id="rId10"/>
    <hyperlink xmlns:r="http://schemas.openxmlformats.org/officeDocument/2006/relationships" ref="K10" display="출처 보기" r:id="rId11"/>
    <hyperlink xmlns:r="http://schemas.openxmlformats.org/officeDocument/2006/relationships" ref="J11" display="원본 지도" r:id="rId12"/>
    <hyperlink xmlns:r="http://schemas.openxmlformats.org/officeDocument/2006/relationships" ref="K11" display="출처 보기" r:id="rId13"/>
    <hyperlink xmlns:r="http://schemas.openxmlformats.org/officeDocument/2006/relationships" ref="L11" display="대조 보기" r:id="rId14"/>
    <hyperlink xmlns:r="http://schemas.openxmlformats.org/officeDocument/2006/relationships" ref="J12" display="원본 지도" r:id="rId15"/>
    <hyperlink xmlns:r="http://schemas.openxmlformats.org/officeDocument/2006/relationships" ref="K12" display="출처 보기" r:id="rId16"/>
    <hyperlink xmlns:r="http://schemas.openxmlformats.org/officeDocument/2006/relationships" ref="J13" display="지도 검색" r:id="rId17"/>
    <hyperlink xmlns:r="http://schemas.openxmlformats.org/officeDocument/2006/relationships" ref="K13" display="출처 보기" r:id="rId18"/>
    <hyperlink xmlns:r="http://schemas.openxmlformats.org/officeDocument/2006/relationships" ref="L13" display="대조 보기" r:id="rId19"/>
    <hyperlink xmlns:r="http://schemas.openxmlformats.org/officeDocument/2006/relationships" ref="J14" display="원본 지도" r:id="rId20"/>
    <hyperlink xmlns:r="http://schemas.openxmlformats.org/officeDocument/2006/relationships" ref="K14" display="출처 보기" r:id="rId21"/>
    <hyperlink xmlns:r="http://schemas.openxmlformats.org/officeDocument/2006/relationships" ref="L14" display="대조 보기" r:id="rId22"/>
    <hyperlink xmlns:r="http://schemas.openxmlformats.org/officeDocument/2006/relationships" ref="J15" display="원본 지도" r:id="rId23"/>
    <hyperlink xmlns:r="http://schemas.openxmlformats.org/officeDocument/2006/relationships" ref="K15" display="출처 보기" r:id="rId24"/>
    <hyperlink xmlns:r="http://schemas.openxmlformats.org/officeDocument/2006/relationships" ref="J16" display="지도 검색" r:id="rId25"/>
    <hyperlink xmlns:r="http://schemas.openxmlformats.org/officeDocument/2006/relationships" ref="K16" display="출처 보기" r:id="rId26"/>
    <hyperlink xmlns:r="http://schemas.openxmlformats.org/officeDocument/2006/relationships" ref="J17" display="원본 지도" r:id="rId27"/>
    <hyperlink xmlns:r="http://schemas.openxmlformats.org/officeDocument/2006/relationships" ref="K17" display="출처 보기" r:id="rId28"/>
    <hyperlink xmlns:r="http://schemas.openxmlformats.org/officeDocument/2006/relationships" ref="L17" display="대조 보기" r:id="rId29"/>
    <hyperlink xmlns:r="http://schemas.openxmlformats.org/officeDocument/2006/relationships" ref="J18" display="지도 검색" r:id="rId30"/>
    <hyperlink xmlns:r="http://schemas.openxmlformats.org/officeDocument/2006/relationships" ref="K18" display="출처 보기" r:id="rId31"/>
    <hyperlink xmlns:r="http://schemas.openxmlformats.org/officeDocument/2006/relationships" ref="J19" display="원본 지도" r:id="rId32"/>
    <hyperlink xmlns:r="http://schemas.openxmlformats.org/officeDocument/2006/relationships" ref="K19" display="출처 보기" r:id="rId33"/>
    <hyperlink xmlns:r="http://schemas.openxmlformats.org/officeDocument/2006/relationships" ref="L19" display="대조 보기" r:id="rId34"/>
    <hyperlink xmlns:r="http://schemas.openxmlformats.org/officeDocument/2006/relationships" ref="J20" display="원본 지도" r:id="rId35"/>
    <hyperlink xmlns:r="http://schemas.openxmlformats.org/officeDocument/2006/relationships" ref="K20" display="출처 보기" r:id="rId36"/>
    <hyperlink xmlns:r="http://schemas.openxmlformats.org/officeDocument/2006/relationships" ref="L20" display="대조 보기" r:id="rId37"/>
    <hyperlink xmlns:r="http://schemas.openxmlformats.org/officeDocument/2006/relationships" ref="J21" display="원본 지도" r:id="rId38"/>
    <hyperlink xmlns:r="http://schemas.openxmlformats.org/officeDocument/2006/relationships" ref="K21" display="출처 보기" r:id="rId39"/>
    <hyperlink xmlns:r="http://schemas.openxmlformats.org/officeDocument/2006/relationships" ref="L21" display="대조 보기" r:id="rId40"/>
    <hyperlink xmlns:r="http://schemas.openxmlformats.org/officeDocument/2006/relationships" ref="J22" display="지도 검색" r:id="rId41"/>
    <hyperlink xmlns:r="http://schemas.openxmlformats.org/officeDocument/2006/relationships" ref="K22" display="출처 보기" r:id="rId42"/>
    <hyperlink xmlns:r="http://schemas.openxmlformats.org/officeDocument/2006/relationships" ref="L22" display="대조 보기" r:id="rId43"/>
    <hyperlink xmlns:r="http://schemas.openxmlformats.org/officeDocument/2006/relationships" ref="J23" display="지도 검색" r:id="rId44"/>
    <hyperlink xmlns:r="http://schemas.openxmlformats.org/officeDocument/2006/relationships" ref="K23" display="출처 보기" r:id="rId45"/>
    <hyperlink xmlns:r="http://schemas.openxmlformats.org/officeDocument/2006/relationships" ref="L23" display="대조 보기" r:id="rId46"/>
    <hyperlink xmlns:r="http://schemas.openxmlformats.org/officeDocument/2006/relationships" ref="J24" display="지도 검색" r:id="rId47"/>
    <hyperlink xmlns:r="http://schemas.openxmlformats.org/officeDocument/2006/relationships" ref="K24" display="출처 보기" r:id="rId48"/>
    <hyperlink xmlns:r="http://schemas.openxmlformats.org/officeDocument/2006/relationships" ref="L24" display="대조 보기" r:id="rId49"/>
    <hyperlink xmlns:r="http://schemas.openxmlformats.org/officeDocument/2006/relationships" ref="J25" display="지도 검색" r:id="rId50"/>
    <hyperlink xmlns:r="http://schemas.openxmlformats.org/officeDocument/2006/relationships" ref="K25" display="출처 보기" r:id="rId51"/>
    <hyperlink xmlns:r="http://schemas.openxmlformats.org/officeDocument/2006/relationships" ref="L25" display="대조 보기" r:id="rId52"/>
    <hyperlink xmlns:r="http://schemas.openxmlformats.org/officeDocument/2006/relationships" ref="J26" display="지도 검색" r:id="rId53"/>
    <hyperlink xmlns:r="http://schemas.openxmlformats.org/officeDocument/2006/relationships" ref="K26" display="출처 보기" r:id="rId54"/>
    <hyperlink xmlns:r="http://schemas.openxmlformats.org/officeDocument/2006/relationships" ref="L26" display="대조 보기" r:id="rId55"/>
    <hyperlink xmlns:r="http://schemas.openxmlformats.org/officeDocument/2006/relationships" ref="J27" display="지도 검색" r:id="rId56"/>
    <hyperlink xmlns:r="http://schemas.openxmlformats.org/officeDocument/2006/relationships" ref="K27" display="출처 보기" r:id="rId57"/>
    <hyperlink xmlns:r="http://schemas.openxmlformats.org/officeDocument/2006/relationships" ref="L27" display="대조 보기" r:id="rId58"/>
    <hyperlink xmlns:r="http://schemas.openxmlformats.org/officeDocument/2006/relationships" ref="K31" display="메뉴 PDF" r:id="rId59"/>
    <hyperlink xmlns:r="http://schemas.openxmlformats.org/officeDocument/2006/relationships" ref="L31" display="행사 일정" r:id="rId60"/>
  </hyperlinks>
  <pageMargins left="0.7" right="0.7" top="0.75" bottom="0.75" header="0.3" footer="0.3"/>
  <tableParts count="1">
    <tablePart xmlns:r="http://schemas.openxmlformats.org/officeDocument/2006/relationships" r:id="rId6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2026-10-02T03:37:11Z</dcterms:modified>
</cp:coreProperties>
</file>